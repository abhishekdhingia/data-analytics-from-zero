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a32e6ea52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39e2bac3adcd434b"/>
    <x:sheet xmlns:r="http://schemas.openxmlformats.org/officeDocument/2006/relationships" name="Sales" sheetId="2" r:id="Rc047e85e1cc845d1"/>
    <x:sheet xmlns:r="http://schemas.openxmlformats.org/officeDocument/2006/relationships" name="Duplicate case" sheetId="3" r:id="R626e0850e9124332"/>
    <x:sheet xmlns:r="http://schemas.openxmlformats.org/officeDocument/2006/relationships" name="Guide" sheetId="4" r:id="Rc0d086b98ece45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&quot;INR &quot;#,##0.00;[Red](&quot;INR &quot;#,##0.00)"/>
  </x:numFmts>
  <x:fonts count="5">
    <x:font>
      <x:sz val="11"/>
      <x:name val="Carlito"/>
    </x:font>
    <x:font>
      <x:sz val="10"/>
      <x:color rgb="FF182738"/>
      <x:name val="Arial"/>
    </x:font>
    <x:font>
      <x:b/>
      <x:sz val="15"/>
      <x:color rgb="FF182738"/>
      <x:name val="Arial"/>
    </x:font>
    <x:font>
      <x:i/>
      <x:sz val="10"/>
      <x:color rgb="FF52637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32a5f7cf542b1" /><Relationship Type="http://schemas.openxmlformats.org/officeDocument/2006/relationships/theme" Target="/xl/theme/theme1.xml" Id="R503a025186d145fd" /><Relationship Type="http://schemas.openxmlformats.org/officeDocument/2006/relationships/sharedStrings" Target="/xl/sharedStrings.xml" Id="Rabb4eaf0efee4cbf" /><Relationship Type="http://schemas.openxmlformats.org/officeDocument/2006/relationships/worksheet" Target="/xl/worksheets/sheet1.xml" Id="R39e2bac3adcd434b" /><Relationship Type="http://schemas.openxmlformats.org/officeDocument/2006/relationships/worksheet" Target="/xl/worksheets/sheet2.xml" Id="Rc047e85e1cc845d1" /><Relationship Type="http://schemas.openxmlformats.org/officeDocument/2006/relationships/worksheet" Target="/xl/worksheets/sheet3.xml" Id="R626e0850e9124332" /><Relationship Type="http://schemas.openxmlformats.org/officeDocument/2006/relationships/worksheet" Target="/xl/worksheets/sheet4.xml" Id="Rc0d086b98ece45ab" /></Relationships>
</file>

<file path=xl/tables/table1.xml><?xml version="1.0" encoding="utf-8"?>
<x:table xmlns:x="http://schemas.openxmlformats.org/spreadsheetml/2006/main" id="1" name="ProductMaster" displayName="ProductMaster" ref="A6:D66" headerRowCount="1" totalsRowCount="0" totalsRowShown="0">
  <x:tableColumns count="4">
    <x:tableColumn id="1" name="Product ID"/>
    <x:tableColumn id="2" name="Product"/>
    <x:tableColumn id="3" name="Category"/>
    <x:tableColumn id="4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lesData" displayName="SalesData" ref="A6:Q189" headerRowCount="1" totalsRowCount="0" totalsRowShown="0">
  <x:tableColumns count="17">
    <x:tableColumn id="1" name="Line ID"/>
    <x:tableColumn id="2" name="Order ID"/>
    <x:tableColumn id="3" name="Sale date"/>
    <x:tableColumn id="4" name="Location"/>
    <x:tableColumn id="5" name="Product ID"/>
    <x:tableColumn id="6" name="Product"/>
    <x:tableColumn id="7" name="Category"/>
    <x:tableColumn id="8" name="Units"/>
    <x:tableColumn id="9" name="Unit price"/>
    <x:tableColumn id="10" name="Line discount"/>
    <x:tableColumn id="11" name="Unit cost"/>
    <x:tableColumn id="12" name="Gross sales"/>
    <x:tableColumn id="13" name="Sales after discount"/>
    <x:tableColumn id="14" name="Normalized key"/>
    <x:tableColumn id="15" name="Key matches"/>
    <x:tableColumn id="16" name="Lookup status"/>
    <x:tableColumn id="17" name="Fallback categ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9a40df0b9d41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a517aee6974e3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4" hidden="0" customWidth="1"/>
    <x:col min="4" max="4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Product master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60 unique product keys. Historical unit cost stays on the sale line.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Product ID</x:v>
      </x:c>
      <x:c r="B6" s="8" t="str">
        <x:v>Product</x:v>
      </x:c>
      <x:c r="C6" s="8" t="str">
        <x:v>Category</x:v>
      </x:c>
      <x:c r="D6" s="8" t="str">
        <x:v>Active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P001</x:v>
      </x:c>
      <x:c r="B7" s="4" t="str">
        <x:v>Steel cup</x:v>
      </x:c>
      <x:c r="C7" s="4" t="str">
        <x:v>Kitchen</x:v>
      </x:c>
      <x:c r="D7" s="4" t="n">
        <x:v>1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P002</x:v>
      </x:c>
      <x:c r="B8" s="4" t="str">
        <x:v>Lunch box</x:v>
      </x:c>
      <x:c r="C8" s="4" t="str">
        <x:v>Kitchen</x:v>
      </x:c>
      <x:c r="D8" s="4" t="n">
        <x:v>1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4" t="str">
        <x:v>P003</x:v>
      </x:c>
      <x:c r="B9" s="4" t="str">
        <x:v>Storage jar</x:v>
      </x:c>
      <x:c r="C9" s="4" t="str">
        <x:v>Kitchen</x:v>
      </x:c>
      <x:c r="D9" s="4" t="n">
        <x:v>1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4" t="str">
        <x:v>P004</x:v>
      </x:c>
      <x:c r="B10" s="4" t="str">
        <x:v>Serving bowl</x:v>
      </x:c>
      <x:c r="C10" s="4" t="str">
        <x:v>Kitchen</x:v>
      </x:c>
      <x:c r="D10" s="4" t="n">
        <x:v>1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4" t="str">
        <x:v>P005</x:v>
      </x:c>
      <x:c r="B11" s="4" t="str">
        <x:v>Water bottle</x:v>
      </x:c>
      <x:c r="C11" s="4" t="str">
        <x:v>Kitchen</x:v>
      </x:c>
      <x:c r="D11" s="4" t="n">
        <x:v>1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4" t="str">
        <x:v>P006</x:v>
      </x:c>
      <x:c r="B12" s="4" t="str">
        <x:v>Tea strainer</x:v>
      </x:c>
      <x:c r="C12" s="4" t="str">
        <x:v>Kitchen</x:v>
      </x:c>
      <x:c r="D12" s="4" t="n">
        <x:v>1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4" t="str">
        <x:v>P007</x:v>
      </x:c>
      <x:c r="B13" s="4" t="str">
        <x:v>Measuring cup</x:v>
      </x:c>
      <x:c r="C13" s="4" t="str">
        <x:v>Kitchen</x:v>
      </x:c>
      <x:c r="D13" s="4" t="n">
        <x:v>1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2" customHeight="1">
      <x:c r="A14" s="4" t="str">
        <x:v>P008</x:v>
      </x:c>
      <x:c r="B14" s="4" t="str">
        <x:v>Spice box</x:v>
      </x:c>
      <x:c r="C14" s="4" t="str">
        <x:v>Kitchen</x:v>
      </x:c>
      <x:c r="D14" s="4" t="n">
        <x:v>1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2" customHeight="1">
      <x:c r="A15" s="4" t="str">
        <x:v>P009</x:v>
      </x:c>
      <x:c r="B15" s="4" t="str">
        <x:v>Plate set</x:v>
      </x:c>
      <x:c r="C15" s="4" t="str">
        <x:v>Kitchen</x:v>
      </x:c>
      <x:c r="D15" s="4" t="n">
        <x:v>1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2" customHeight="1">
      <x:c r="A16" s="4" t="str">
        <x:v>P010</x:v>
      </x:c>
      <x:c r="B16" s="4" t="str">
        <x:v>Cutting board</x:v>
      </x:c>
      <x:c r="C16" s="4" t="str">
        <x:v>Kitchen</x:v>
      </x:c>
      <x:c r="D16" s="4" t="n">
        <x:v>1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2" customHeight="1">
      <x:c r="A17" s="4" t="str">
        <x:v>P011</x:v>
      </x:c>
      <x:c r="B17" s="4" t="str">
        <x:v>Pan</x:v>
      </x:c>
      <x:c r="C17" s="4" t="str">
        <x:v>Kitchen</x:v>
      </x:c>
      <x:c r="D17" s="4" t="n">
        <x:v>1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2" customHeight="1">
      <x:c r="A18" s="4" t="str">
        <x:v>P012</x:v>
      </x:c>
      <x:c r="B18" s="4" t="str">
        <x:v>Kettle</x:v>
      </x:c>
      <x:c r="C18" s="4" t="str">
        <x:v>Kitchen</x:v>
      </x:c>
      <x:c r="D18" s="4" t="n">
        <x:v>1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2" customHeight="1">
      <x:c r="A19" s="4" t="str">
        <x:v>P013</x:v>
      </x:c>
      <x:c r="B19" s="4" t="str">
        <x:v>Cleaning cloth</x:v>
      </x:c>
      <x:c r="C19" s="4" t="str">
        <x:v>Home care</x:v>
      </x:c>
      <x:c r="D19" s="4" t="n">
        <x:v>1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2" customHeight="1">
      <x:c r="A20" s="4" t="str">
        <x:v>P014</x:v>
      </x:c>
      <x:c r="B20" s="4" t="str">
        <x:v>Scrub pad</x:v>
      </x:c>
      <x:c r="C20" s="4" t="str">
        <x:v>Home care</x:v>
      </x:c>
      <x:c r="D20" s="4" t="n">
        <x:v>1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2" customHeight="1">
      <x:c r="A21" s="4" t="str">
        <x:v>P015</x:v>
      </x:c>
      <x:c r="B21" s="4" t="str">
        <x:v>Floor brush</x:v>
      </x:c>
      <x:c r="C21" s="4" t="str">
        <x:v>Home care</x:v>
      </x:c>
      <x:c r="D21" s="4" t="n">
        <x:v>1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2" customHeight="1">
      <x:c r="A22" s="4" t="str">
        <x:v>P016</x:v>
      </x:c>
      <x:c r="B22" s="4" t="str">
        <x:v>Dustpan</x:v>
      </x:c>
      <x:c r="C22" s="4" t="str">
        <x:v>Home care</x:v>
      </x:c>
      <x:c r="D22" s="4" t="n">
        <x:v>1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2" customHeight="1">
      <x:c r="A23" s="4" t="str">
        <x:v>P017</x:v>
      </x:c>
      <x:c r="B23" s="4" t="str">
        <x:v>Laundry bag</x:v>
      </x:c>
      <x:c r="C23" s="4" t="str">
        <x:v>Home care</x:v>
      </x:c>
      <x:c r="D23" s="4" t="n">
        <x:v>1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2" customHeight="1">
      <x:c r="A24" s="4" t="str">
        <x:v>P018</x:v>
      </x:c>
      <x:c r="B24" s="4" t="str">
        <x:v>Storage basket</x:v>
      </x:c>
      <x:c r="C24" s="4" t="str">
        <x:v>Home care</x:v>
      </x:c>
      <x:c r="D24" s="4" t="n">
        <x:v>1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2" customHeight="1">
      <x:c r="A25" s="4" t="str">
        <x:v>P019</x:v>
      </x:c>
      <x:c r="B25" s="4" t="str">
        <x:v>Mop</x:v>
      </x:c>
      <x:c r="C25" s="4" t="str">
        <x:v>Home care</x:v>
      </x:c>
      <x:c r="D25" s="4" t="n">
        <x:v>1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2" customHeight="1">
      <x:c r="A26" s="4" t="str">
        <x:v>P020</x:v>
      </x:c>
      <x:c r="B26" s="4" t="str">
        <x:v>Waste bin</x:v>
      </x:c>
      <x:c r="C26" s="4" t="str">
        <x:v>Home care</x:v>
      </x:c>
      <x:c r="D26" s="4" t="n">
        <x:v>1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2" customHeight="1">
      <x:c r="A27" s="4" t="str">
        <x:v>P021</x:v>
      </x:c>
      <x:c r="B27" s="4" t="str">
        <x:v>Hanger set</x:v>
      </x:c>
      <x:c r="C27" s="4" t="str">
        <x:v>Home care</x:v>
      </x:c>
      <x:c r="D27" s="4" t="n">
        <x:v>1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2" customHeight="1">
      <x:c r="A28" s="4" t="str">
        <x:v>P022</x:v>
      </x:c>
      <x:c r="B28" s="4" t="str">
        <x:v>Shoe rack</x:v>
      </x:c>
      <x:c r="C28" s="4" t="str">
        <x:v>Home care</x:v>
      </x:c>
      <x:c r="D28" s="4" t="n">
        <x:v>1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2" customHeight="1">
      <x:c r="A29" s="4" t="str">
        <x:v>P023</x:v>
      </x:c>
      <x:c r="B29" s="4" t="str">
        <x:v>Door mat</x:v>
      </x:c>
      <x:c r="C29" s="4" t="str">
        <x:v>Home care</x:v>
      </x:c>
      <x:c r="D29" s="4" t="n">
        <x:v>1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2" customHeight="1">
      <x:c r="A30" s="4" t="str">
        <x:v>P024</x:v>
      </x:c>
      <x:c r="B30" s="4" t="str">
        <x:v>Laundry stand</x:v>
      </x:c>
      <x:c r="C30" s="4" t="str">
        <x:v>Home care</x:v>
      </x:c>
      <x:c r="D30" s="4" t="n">
        <x:v>1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2" customHeight="1">
      <x:c r="A31" s="4" t="str">
        <x:v>P025</x:v>
      </x:c>
      <x:c r="B31" s="4" t="str">
        <x:v>Notebook</x:v>
      </x:c>
      <x:c r="C31" s="4" t="str">
        <x:v>Stationery</x:v>
      </x:c>
      <x:c r="D31" s="4" t="n">
        <x:v>1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2" customHeight="1">
      <x:c r="A32" s="4" t="str">
        <x:v>P026</x:v>
      </x:c>
      <x:c r="B32" s="4" t="str">
        <x:v>Pen pack</x:v>
      </x:c>
      <x:c r="C32" s="4" t="str">
        <x:v>Stationery</x:v>
      </x:c>
      <x:c r="D32" s="4" t="n">
        <x:v>1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2" customHeight="1">
      <x:c r="A33" s="4" t="str">
        <x:v>P027</x:v>
      </x:c>
      <x:c r="B33" s="4" t="str">
        <x:v>Pencil pack</x:v>
      </x:c>
      <x:c r="C33" s="4" t="str">
        <x:v>Stationery</x:v>
      </x:c>
      <x:c r="D33" s="4" t="n">
        <x:v>1</x:v>
      </x:c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2" customHeight="1">
      <x:c r="A34" s="4" t="str">
        <x:v>P028</x:v>
      </x:c>
      <x:c r="B34" s="4" t="str">
        <x:v>Eraser pack</x:v>
      </x:c>
      <x:c r="C34" s="4" t="str">
        <x:v>Stationery</x:v>
      </x:c>
      <x:c r="D34" s="4" t="n">
        <x:v>1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2" customHeight="1">
      <x:c r="A35" s="4" t="str">
        <x:v>P029</x:v>
      </x:c>
      <x:c r="B35" s="4" t="str">
        <x:v>Ruler</x:v>
      </x:c>
      <x:c r="C35" s="4" t="str">
        <x:v>Stationery</x:v>
      </x:c>
      <x:c r="D35" s="4" t="n">
        <x:v>1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2" customHeight="1">
      <x:c r="A36" s="4" t="str">
        <x:v>P030</x:v>
      </x:c>
      <x:c r="B36" s="4" t="str">
        <x:v>Folder</x:v>
      </x:c>
      <x:c r="C36" s="4" t="str">
        <x:v>Stationery</x:v>
      </x:c>
      <x:c r="D36" s="4" t="n">
        <x:v>1</x:v>
      </x:c>
    </x:row>
    <x:row r="37" ht="22" customHeight="1">
      <x:c r="A37" s="4" t="str">
        <x:v>P031</x:v>
      </x:c>
      <x:c r="B37" s="4" t="str">
        <x:v>Marker pack</x:v>
      </x:c>
      <x:c r="C37" s="4" t="str">
        <x:v>Stationery</x:v>
      </x:c>
      <x:c r="D37" s="4" t="n">
        <x:v>1</x:v>
      </x:c>
    </x:row>
    <x:row r="38" ht="22" customHeight="1">
      <x:c r="A38" s="4" t="str">
        <x:v>P032</x:v>
      </x:c>
      <x:c r="B38" s="4" t="str">
        <x:v>Drawing pad</x:v>
      </x:c>
      <x:c r="C38" s="4" t="str">
        <x:v>Stationery</x:v>
      </x:c>
      <x:c r="D38" s="4" t="n">
        <x:v>1</x:v>
      </x:c>
    </x:row>
    <x:row r="39" ht="22" customHeight="1">
      <x:c r="A39" s="4" t="str">
        <x:v>P033</x:v>
      </x:c>
      <x:c r="B39" s="4" t="str">
        <x:v>Stapler</x:v>
      </x:c>
      <x:c r="C39" s="4" t="str">
        <x:v>Stationery</x:v>
      </x:c>
      <x:c r="D39" s="4" t="n">
        <x:v>1</x:v>
      </x:c>
    </x:row>
    <x:row r="40" ht="22" customHeight="1">
      <x:c r="A40" s="4" t="str">
        <x:v>P034</x:v>
      </x:c>
      <x:c r="B40" s="4" t="str">
        <x:v>Desk tray</x:v>
      </x:c>
      <x:c r="C40" s="4" t="str">
        <x:v>Stationery</x:v>
      </x:c>
      <x:c r="D40" s="4" t="n">
        <x:v>1</x:v>
      </x:c>
    </x:row>
    <x:row r="41" ht="22" customHeight="1">
      <x:c r="A41" s="4" t="str">
        <x:v>P035</x:v>
      </x:c>
      <x:c r="B41" s="4" t="str">
        <x:v>Planner</x:v>
      </x:c>
      <x:c r="C41" s="4" t="str">
        <x:v>Stationery</x:v>
      </x:c>
      <x:c r="D41" s="4" t="n">
        <x:v>1</x:v>
      </x:c>
    </x:row>
    <x:row r="42" ht="22" customHeight="1">
      <x:c r="A42" s="4" t="str">
        <x:v>P036</x:v>
      </x:c>
      <x:c r="B42" s="4" t="str">
        <x:v>Paper pack</x:v>
      </x:c>
      <x:c r="C42" s="4" t="str">
        <x:v>Stationery</x:v>
      </x:c>
      <x:c r="D42" s="4" t="n">
        <x:v>1</x:v>
      </x:c>
    </x:row>
    <x:row r="43" ht="22" customHeight="1">
      <x:c r="A43" s="4" t="str">
        <x:v>P037</x:v>
      </x:c>
      <x:c r="B43" s="4" t="str">
        <x:v>Soap pack</x:v>
      </x:c>
      <x:c r="C43" s="4" t="str">
        <x:v>Personal care</x:v>
      </x:c>
      <x:c r="D43" s="4" t="n">
        <x:v>1</x:v>
      </x:c>
    </x:row>
    <x:row r="44" ht="22" customHeight="1">
      <x:c r="A44" s="4" t="str">
        <x:v>P038</x:v>
      </x:c>
      <x:c r="B44" s="4" t="str">
        <x:v>Shampoo</x:v>
      </x:c>
      <x:c r="C44" s="4" t="str">
        <x:v>Personal care</x:v>
      </x:c>
      <x:c r="D44" s="4" t="n">
        <x:v>1</x:v>
      </x:c>
    </x:row>
    <x:row r="45" ht="22" customHeight="1">
      <x:c r="A45" s="4" t="str">
        <x:v>P039</x:v>
      </x:c>
      <x:c r="B45" s="4" t="str">
        <x:v>Hand wash</x:v>
      </x:c>
      <x:c r="C45" s="4" t="str">
        <x:v>Personal care</x:v>
      </x:c>
      <x:c r="D45" s="4" t="n">
        <x:v>1</x:v>
      </x:c>
    </x:row>
    <x:row r="46" ht="22" customHeight="1">
      <x:c r="A46" s="4" t="str">
        <x:v>P040</x:v>
      </x:c>
      <x:c r="B46" s="4" t="str">
        <x:v>Toothbrush pack</x:v>
      </x:c>
      <x:c r="C46" s="4" t="str">
        <x:v>Personal care</x:v>
      </x:c>
      <x:c r="D46" s="4" t="n">
        <x:v>1</x:v>
      </x:c>
    </x:row>
    <x:row r="47" ht="22" customHeight="1">
      <x:c r="A47" s="4" t="str">
        <x:v>P041</x:v>
      </x:c>
      <x:c r="B47" s="4" t="str">
        <x:v>Body lotion</x:v>
      </x:c>
      <x:c r="C47" s="4" t="str">
        <x:v>Personal care</x:v>
      </x:c>
      <x:c r="D47" s="4" t="n">
        <x:v>1</x:v>
      </x:c>
    </x:row>
    <x:row r="48" ht="22" customHeight="1">
      <x:c r="A48" s="4" t="str">
        <x:v>P042</x:v>
      </x:c>
      <x:c r="B48" s="4" t="str">
        <x:v>Comb</x:v>
      </x:c>
      <x:c r="C48" s="4" t="str">
        <x:v>Personal care</x:v>
      </x:c>
      <x:c r="D48" s="4" t="n">
        <x:v>1</x:v>
      </x:c>
    </x:row>
    <x:row r="49" ht="22" customHeight="1">
      <x:c r="A49" s="4" t="str">
        <x:v>P043</x:v>
      </x:c>
      <x:c r="B49" s="4" t="str">
        <x:v>Face towel</x:v>
      </x:c>
      <x:c r="C49" s="4" t="str">
        <x:v>Personal care</x:v>
      </x:c>
      <x:c r="D49" s="4" t="n">
        <x:v>1</x:v>
      </x:c>
    </x:row>
    <x:row r="50" ht="22" customHeight="1">
      <x:c r="A50" s="4" t="str">
        <x:v>P044</x:v>
      </x:c>
      <x:c r="B50" s="4" t="str">
        <x:v>Travel pouch</x:v>
      </x:c>
      <x:c r="C50" s="4" t="str">
        <x:v>Personal care</x:v>
      </x:c>
      <x:c r="D50" s="4" t="n">
        <x:v>1</x:v>
      </x:c>
    </x:row>
    <x:row r="51" ht="22" customHeight="1">
      <x:c r="A51" s="4" t="str">
        <x:v>P045</x:v>
      </x:c>
      <x:c r="B51" s="4" t="str">
        <x:v>Hair oil</x:v>
      </x:c>
      <x:c r="C51" s="4" t="str">
        <x:v>Personal care</x:v>
      </x:c>
      <x:c r="D51" s="4" t="n">
        <x:v>1</x:v>
      </x:c>
    </x:row>
    <x:row r="52" ht="22" customHeight="1">
      <x:c r="A52" s="4" t="str">
        <x:v>P046</x:v>
      </x:c>
      <x:c r="B52" s="4" t="str">
        <x:v>Sunscreen</x:v>
      </x:c>
      <x:c r="C52" s="4" t="str">
        <x:v>Personal care</x:v>
      </x:c>
      <x:c r="D52" s="4" t="n">
        <x:v>1</x:v>
      </x:c>
    </x:row>
    <x:row r="53" ht="22" customHeight="1">
      <x:c r="A53" s="4" t="str">
        <x:v>P047</x:v>
      </x:c>
      <x:c r="B53" s="4" t="str">
        <x:v>Grooming kit</x:v>
      </x:c>
      <x:c r="C53" s="4" t="str">
        <x:v>Personal care</x:v>
      </x:c>
      <x:c r="D53" s="4" t="n">
        <x:v>1</x:v>
      </x:c>
    </x:row>
    <x:row r="54" ht="22" customHeight="1">
      <x:c r="A54" s="4" t="str">
        <x:v>P048</x:v>
      </x:c>
      <x:c r="B54" s="4" t="str">
        <x:v>Bath towel</x:v>
      </x:c>
      <x:c r="C54" s="4" t="str">
        <x:v>Personal care</x:v>
      </x:c>
      <x:c r="D54" s="4" t="n">
        <x:v>1</x:v>
      </x:c>
    </x:row>
    <x:row r="55" ht="22" customHeight="1">
      <x:c r="A55" s="4" t="str">
        <x:v>P049</x:v>
      </x:c>
      <x:c r="B55" s="4" t="str">
        <x:v>USB cable</x:v>
      </x:c>
      <x:c r="C55" s="4" t="str">
        <x:v>Electronics</x:v>
      </x:c>
      <x:c r="D55" s="4" t="n">
        <x:v>1</x:v>
      </x:c>
    </x:row>
    <x:row r="56" ht="22" customHeight="1">
      <x:c r="A56" s="4" t="str">
        <x:v>P050</x:v>
      </x:c>
      <x:c r="B56" s="4" t="str">
        <x:v>Mouse</x:v>
      </x:c>
      <x:c r="C56" s="4" t="str">
        <x:v>Electronics</x:v>
      </x:c>
      <x:c r="D56" s="4" t="n">
        <x:v>1</x:v>
      </x:c>
    </x:row>
    <x:row r="57" ht="22" customHeight="1">
      <x:c r="A57" s="4" t="str">
        <x:v>P051</x:v>
      </x:c>
      <x:c r="B57" s="4" t="str">
        <x:v>Keyboard</x:v>
      </x:c>
      <x:c r="C57" s="4" t="str">
        <x:v>Electronics</x:v>
      </x:c>
      <x:c r="D57" s="4" t="n">
        <x:v>1</x:v>
      </x:c>
    </x:row>
    <x:row r="58" ht="22" customHeight="1">
      <x:c r="A58" s="4" t="str">
        <x:v>P052</x:v>
      </x:c>
      <x:c r="B58" s="4" t="str">
        <x:v>USB hub</x:v>
      </x:c>
      <x:c r="C58" s="4" t="str">
        <x:v>Electronics</x:v>
      </x:c>
      <x:c r="D58" s="4" t="n">
        <x:v>1</x:v>
      </x:c>
    </x:row>
    <x:row r="59" ht="22" customHeight="1">
      <x:c r="A59" s="4" t="str">
        <x:v>P053</x:v>
      </x:c>
      <x:c r="B59" s="4" t="str">
        <x:v>Desk light</x:v>
      </x:c>
      <x:c r="C59" s="4" t="str">
        <x:v>Electronics</x:v>
      </x:c>
      <x:c r="D59" s="4" t="n">
        <x:v>1</x:v>
      </x:c>
    </x:row>
    <x:row r="60" ht="22" customHeight="1">
      <x:c r="A60" s="4" t="str">
        <x:v>P054</x:v>
      </x:c>
      <x:c r="B60" s="4" t="str">
        <x:v>Earphones</x:v>
      </x:c>
      <x:c r="C60" s="4" t="str">
        <x:v>Electronics</x:v>
      </x:c>
      <x:c r="D60" s="4" t="n">
        <x:v>1</x:v>
      </x:c>
    </x:row>
    <x:row r="61" ht="22" customHeight="1">
      <x:c r="A61" s="4" t="str">
        <x:v>P055</x:v>
      </x:c>
      <x:c r="B61" s="4" t="str">
        <x:v>Power bank</x:v>
      </x:c>
      <x:c r="C61" s="4" t="str">
        <x:v>Electronics</x:v>
      </x:c>
      <x:c r="D61" s="4" t="n">
        <x:v>1</x:v>
      </x:c>
    </x:row>
    <x:row r="62" ht="22" customHeight="1">
      <x:c r="A62" s="4" t="str">
        <x:v>P056</x:v>
      </x:c>
      <x:c r="B62" s="4" t="str">
        <x:v>Speaker</x:v>
      </x:c>
      <x:c r="C62" s="4" t="str">
        <x:v>Electronics</x:v>
      </x:c>
      <x:c r="D62" s="4" t="n">
        <x:v>1</x:v>
      </x:c>
    </x:row>
    <x:row r="63" ht="22" customHeight="1">
      <x:c r="A63" s="4" t="str">
        <x:v>P057</x:v>
      </x:c>
      <x:c r="B63" s="4" t="str">
        <x:v>Webcam</x:v>
      </x:c>
      <x:c r="C63" s="4" t="str">
        <x:v>Electronics</x:v>
      </x:c>
      <x:c r="D63" s="4" t="n">
        <x:v>1</x:v>
      </x:c>
    </x:row>
    <x:row r="64" ht="22" customHeight="1">
      <x:c r="A64" s="4" t="str">
        <x:v>P058</x:v>
      </x:c>
      <x:c r="B64" s="4" t="str">
        <x:v>Router</x:v>
      </x:c>
      <x:c r="C64" s="4" t="str">
        <x:v>Electronics</x:v>
      </x:c>
      <x:c r="D64" s="4" t="n">
        <x:v>1</x:v>
      </x:c>
    </x:row>
    <x:row r="65" ht="22" customHeight="1">
      <x:c r="A65" s="4" t="str">
        <x:v>P059</x:v>
      </x:c>
      <x:c r="B65" s="4" t="str">
        <x:v>Monitor</x:v>
      </x:c>
      <x:c r="C65" s="4" t="str">
        <x:v>Electronics</x:v>
      </x:c>
      <x:c r="D65" s="4" t="n">
        <x:v>1</x:v>
      </x:c>
    </x:row>
    <x:row r="66" ht="22" customHeight="1">
      <x:c r="A66" s="4" t="str">
        <x:v>P060</x:v>
      </x:c>
      <x:c r="B66" s="4" t="str">
        <x:v>Tablet</x:v>
      </x:c>
      <x:c r="C66" s="4" t="str">
        <x:v>Electronics</x:v>
      </x:c>
      <x:c r="D66" s="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89a40df0b9d412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16" hidden="0" customWidth="1"/>
    <x:col min="4" max="4" width="14" hidden="0" customWidth="1"/>
    <x:col min="5" max="5" width="16" hidden="0" customWidth="1"/>
    <x:col min="6" max="6" width="24" hidden="0" customWidth="1"/>
    <x:col min="7" max="7" width="20" hidden="0" customWidth="1"/>
    <x:col min="8" max="8" width="12" hidden="0" customWidth="1"/>
    <x:col min="9" max="9" width="19" hidden="0" customWidth="1"/>
    <x:col min="10" max="10" width="19" hidden="0" customWidth="1"/>
    <x:col min="11" max="11" width="19" hidden="0" customWidth="1"/>
    <x:col min="12" max="12" width="21" hidden="0" customWidth="1"/>
    <x:col min="13" max="13" width="24" hidden="0" customWidth="1"/>
    <x:col min="14" max="14" width="22" hidden="0" customWidth="1"/>
    <x:col min="15" max="15" width="24" hidden="0" customWidth="1"/>
    <x:col min="16" max="16" width="21" hidden="0" customWidth="1"/>
    <x:col min="17" max="17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Sales sample — 2025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183 completed sale lines from 72 selected orders. Sales exclude refunds; sample is not the annual total.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Line ID</x:v>
      </x:c>
      <x:c r="B6" s="8" t="str">
        <x:v>Order ID</x:v>
      </x:c>
      <x:c r="C6" s="8" t="str">
        <x:v>Sale date</x:v>
      </x:c>
      <x:c r="D6" s="8" t="str">
        <x:v>Location</x:v>
      </x:c>
      <x:c r="E6" s="8" t="str">
        <x:v>Product ID</x:v>
      </x:c>
      <x:c r="F6" s="8" t="str">
        <x:v>Product</x:v>
      </x:c>
      <x:c r="G6" s="8" t="str">
        <x:v>Category</x:v>
      </x:c>
      <x:c r="H6" s="8" t="str">
        <x:v>Units</x:v>
      </x:c>
      <x:c r="I6" s="8" t="str">
        <x:v>Unit price</x:v>
      </x:c>
      <x:c r="J6" s="8" t="str">
        <x:v>Line discount</x:v>
      </x:c>
      <x:c r="K6" s="8" t="str">
        <x:v>Unit cost</x:v>
      </x:c>
      <x:c r="L6" s="8" t="str">
        <x:v>Gross sales</x:v>
      </x:c>
      <x:c r="M6" s="8" t="str">
        <x:v>Sales after discount</x:v>
      </x:c>
      <x:c r="N6" s="8" t="str">
        <x:v>Normalized key</x:v>
      </x:c>
      <x:c r="O6" s="8" t="str">
        <x:v>Key matches</x:v>
      </x:c>
      <x:c r="P6" s="8" t="str">
        <x:v>Lookup status</x:v>
      </x:c>
      <x:c r="Q6" s="8" t="str">
        <x:v>Fallback category</x:v>
      </x:c>
      <x:c r="R6" s="1"/>
      <x:c r="S6" s="1"/>
      <x:c r="T6" s="1"/>
    </x:row>
    <x:row r="7" ht="22" customHeight="1">
      <x:c r="A7" s="4" t="str">
        <x:v>L2025-000003</x:v>
      </x:c>
      <x:c r="B7" s="4" t="str">
        <x:v>O2025-00002</x:v>
      </x:c>
      <x:c r="C7" s="9" t="n">
        <x:v>45658</x:v>
      </x:c>
      <x:c r="D7" s="4" t="str">
        <x:v>S06</x:v>
      </x:c>
      <x:c r="E7" s="4" t="str">
        <x:v>P999</x:v>
      </x:c>
      <x:c r="F7" s="4" t="str">
        <x:f>IF(O7&lt;&gt;1,P7,_xlfn.XLOOKUP(N7,Products!$A$7:$A$66,Products!$B$7:$B$66,"Unmatched",0))</x:f>
        <x:v>Unmatched</x:v>
      </x:c>
      <x:c r="G7" s="4" t="str">
        <x:f>IF(O7&lt;&gt;1,P7,_xlfn.XLOOKUP(N7,Products!$A$7:$A$66,Products!$C$7:$C$66,"Unmatched",0))</x:f>
        <x:v>Unmatched</x:v>
      </x:c>
      <x:c r="H7" s="10" t="n">
        <x:v>3</x:v>
      </x:c>
      <x:c r="I7" s="11" t="n">
        <x:v>1250</x:v>
      </x:c>
      <x:c r="J7" s="11" t="n">
        <x:v>750</x:v>
      </x:c>
      <x:c r="K7" s="11" t="n">
        <x:v>1050</x:v>
      </x:c>
      <x:c r="L7" s="11" t="n">
        <x:v>3750</x:v>
      </x:c>
      <x:c r="M7" s="11" t="n">
        <x:v>3000</x:v>
      </x:c>
      <x:c r="N7" s="4" t="str">
        <x:f>IF(ISNUMBER(E7),"P"&amp;TEXT(E7,"000"),TRIM(E7))</x:f>
        <x:v>P999</x:v>
      </x:c>
      <x:c r="O7" s="4" t="n">
        <x:f>COUNTIFS(Products!$A$7:$A$66,N7)</x:f>
        <x:v>0</x:v>
      </x:c>
      <x:c r="P7" s="4" t="str">
        <x:f>IF(O7=0,"Unmatched",IF(O7&gt;1,"Ambiguous","Matched"))</x:f>
        <x:v>Unmatched</x:v>
      </x:c>
      <x:c r="Q7" s="4" t="str">
        <x:f>IF(O7&lt;&gt;1,P7,INDEX(Products!$C$7:$C$66,MATCH(N7,Products!$A$7:$A$66,0)))</x:f>
        <x:v>Unmatched</x:v>
      </x:c>
      <x:c r="R7" s="1"/>
      <x:c r="S7" s="1"/>
      <x:c r="T7" s="1"/>
    </x:row>
    <x:row r="8" ht="22" customHeight="1">
      <x:c r="A8" s="4" t="str">
        <x:v>L2025-000004</x:v>
      </x:c>
      <x:c r="B8" s="4" t="str">
        <x:v>O2025-00002</x:v>
      </x:c>
      <x:c r="C8" s="9" t="n">
        <x:v>45658</x:v>
      </x:c>
      <x:c r="D8" s="4" t="str">
        <x:v>S06</x:v>
      </x:c>
      <x:c r="E8" s="4" t="n">
        <x:v>11</x:v>
      </x:c>
      <x:c r="F8" s="4" t="str">
        <x:f>IF(O8&lt;&gt;1,P8,_xlfn.XLOOKUP(N8,Products!$A$7:$A$66,Products!$B$7:$B$66,"Unmatched",0))</x:f>
        <x:v>Pan</x:v>
      </x:c>
      <x:c r="G8" s="4" t="str">
        <x:f>IF(O8&lt;&gt;1,P8,_xlfn.XLOOKUP(N8,Products!$A$7:$A$66,Products!$C$7:$C$66,"Unmatched",0))</x:f>
        <x:v>Kitchen</x:v>
      </x:c>
      <x:c r="H8" s="10" t="n">
        <x:v>3</x:v>
      </x:c>
      <x:c r="I8" s="11" t="n">
        <x:v>540</x:v>
      </x:c>
      <x:c r="J8" s="11" t="n">
        <x:v>243</x:v>
      </x:c>
      <x:c r="K8" s="11" t="n">
        <x:v>324</x:v>
      </x:c>
      <x:c r="L8" s="11" t="n">
        <x:v>1620</x:v>
      </x:c>
      <x:c r="M8" s="11" t="n">
        <x:v>1377</x:v>
      </x:c>
      <x:c r="N8" s="4" t="str">
        <x:f>IF(ISNUMBER(E8),"P"&amp;TEXT(E8,"000"),TRIM(E8))</x:f>
        <x:v>P011</x:v>
      </x:c>
      <x:c r="O8" s="4" t="n">
        <x:f>COUNTIFS(Products!$A$7:$A$66,N8)</x:f>
        <x:v>1</x:v>
      </x:c>
      <x:c r="P8" s="4" t="str">
        <x:f>IF(O8=0,"Unmatched",IF(O8&gt;1,"Ambiguous","Matched"))</x:f>
        <x:v>Matched</x:v>
      </x:c>
      <x:c r="Q8" s="4" t="str">
        <x:f>IF(O8&lt;&gt;1,P8,INDEX(Products!$C$7:$C$66,MATCH(N8,Products!$A$7:$A$66,0)))</x:f>
        <x:v>Kitchen</x:v>
      </x:c>
      <x:c r="R8" s="1"/>
      <x:c r="S8" s="1"/>
      <x:c r="T8" s="1"/>
    </x:row>
    <x:row r="9" ht="22" customHeight="1">
      <x:c r="A9" s="4" t="str">
        <x:v>L2025-000005</x:v>
      </x:c>
      <x:c r="B9" s="4" t="str">
        <x:v>O2025-00002</x:v>
      </x:c>
      <x:c r="C9" s="9" t="n">
        <x:v>45658</x:v>
      </x:c>
      <x:c r="D9" s="4" t="str">
        <x:v>S06</x:v>
      </x:c>
      <x:c r="E9" s="4" t="str">
        <x:v>P040</x:v>
      </x:c>
      <x:c r="F9" s="4" t="str">
        <x:f>IF(O9&lt;&gt;1,P9,_xlfn.XLOOKUP(N9,Products!$A$7:$A$66,Products!$B$7:$B$66,"Unmatched",0))</x:f>
        <x:v>Toothbrush pack</x:v>
      </x:c>
      <x:c r="G9" s="4" t="str">
        <x:f>IF(O9&lt;&gt;1,P9,_xlfn.XLOOKUP(N9,Products!$A$7:$A$66,Products!$C$7:$C$66,"Unmatched",0))</x:f>
        <x:v>Personal care</x:v>
      </x:c>
      <x:c r="H9" s="10" t="n">
        <x:v>5</x:v>
      </x:c>
      <x:c r="I9" s="11" t="n">
        <x:v>224</x:v>
      </x:c>
      <x:c r="J9" s="11" t="n">
        <x:v>0</x:v>
      </x:c>
      <x:c r="K9" s="11" t="n">
        <x:v>143.36</x:v>
      </x:c>
      <x:c r="L9" s="11" t="n">
        <x:v>1120</x:v>
      </x:c>
      <x:c r="M9" s="11" t="n">
        <x:v>1120</x:v>
      </x:c>
      <x:c r="N9" s="4" t="str">
        <x:f>IF(ISNUMBER(E9),"P"&amp;TEXT(E9,"000"),TRIM(E9))</x:f>
        <x:v>P040</x:v>
      </x:c>
      <x:c r="O9" s="4" t="n">
        <x:f>COUNTIFS(Products!$A$7:$A$66,N9)</x:f>
        <x:v>1</x:v>
      </x:c>
      <x:c r="P9" s="4" t="str">
        <x:f>IF(O9=0,"Unmatched",IF(O9&gt;1,"Ambiguous","Matched"))</x:f>
        <x:v>Matched</x:v>
      </x:c>
      <x:c r="Q9" s="4" t="str">
        <x:f>IF(O9&lt;&gt;1,P9,INDEX(Products!$C$7:$C$66,MATCH(N9,Products!$A$7:$A$66,0)))</x:f>
        <x:v>Personal care</x:v>
      </x:c>
      <x:c r="R9" s="1"/>
      <x:c r="S9" s="1"/>
      <x:c r="T9" s="1"/>
    </x:row>
    <x:row r="10" ht="22" customHeight="1">
      <x:c r="A10" s="4" t="str">
        <x:v>L2025-000508</x:v>
      </x:c>
      <x:c r="B10" s="4" t="str">
        <x:v>O2025-00204</x:v>
      </x:c>
      <x:c r="C10" s="9" t="n">
        <x:v>45664</x:v>
      </x:c>
      <x:c r="D10" s="4" t="str">
        <x:v>S05</x:v>
      </x:c>
      <x:c r="E10" s="4" t="str">
        <x:v>P027</x:v>
      </x:c>
      <x:c r="F10" s="4" t="str">
        <x:f>IF(O10&lt;&gt;1,P10,_xlfn.XLOOKUP(N10,Products!$A$7:$A$66,Products!$B$7:$B$66,"Unmatched",0))</x:f>
        <x:v>Pencil pack</x:v>
      </x:c>
      <x:c r="G10" s="4" t="str">
        <x:f>IF(O10&lt;&gt;1,P10,_xlfn.XLOOKUP(N10,Products!$A$7:$A$66,Products!$C$7:$C$66,"Unmatched",0))</x:f>
        <x:v>Stationery</x:v>
      </x:c>
      <x:c r="H10" s="10" t="n">
        <x:v>1</x:v>
      </x:c>
      <x:c r="I10" s="11" t="n">
        <x:v>70</x:v>
      </x:c>
      <x:c r="J10" s="11" t="n">
        <x:v>7</x:v>
      </x:c>
      <x:c r="K10" s="11" t="n">
        <x:v>36.4</x:v>
      </x:c>
      <x:c r="L10" s="11" t="n">
        <x:v>70</x:v>
      </x:c>
      <x:c r="M10" s="11" t="n">
        <x:v>63</x:v>
      </x:c>
      <x:c r="N10" s="4" t="str">
        <x:f>IF(ISNUMBER(E10),"P"&amp;TEXT(E10,"000"),TRIM(E10))</x:f>
        <x:v>P027</x:v>
      </x:c>
      <x:c r="O10" s="4" t="n">
        <x:f>COUNTIFS(Products!$A$7:$A$66,N10)</x:f>
        <x:v>1</x:v>
      </x:c>
      <x:c r="P10" s="4" t="str">
        <x:f>IF(O10=0,"Unmatched",IF(O10&gt;1,"Ambiguous","Matched"))</x:f>
        <x:v>Matched</x:v>
      </x:c>
      <x:c r="Q10" s="4" t="str">
        <x:f>IF(O10&lt;&gt;1,P10,INDEX(Products!$C$7:$C$66,MATCH(N10,Products!$A$7:$A$66,0)))</x:f>
        <x:v>Stationery</x:v>
      </x:c>
      <x:c r="R10" s="1"/>
      <x:c r="S10" s="1"/>
      <x:c r="T10" s="1"/>
    </x:row>
    <x:row r="11" ht="22" customHeight="1">
      <x:c r="A11" s="4" t="str">
        <x:v>L2025-000509</x:v>
      </x:c>
      <x:c r="B11" s="4" t="str">
        <x:v>O2025-00204</x:v>
      </x:c>
      <x:c r="C11" s="9" t="n">
        <x:v>45664</x:v>
      </x:c>
      <x:c r="D11" s="4" t="str">
        <x:v>S05</x:v>
      </x:c>
      <x:c r="E11" s="4" t="str">
        <x:v>P060</x:v>
      </x:c>
      <x:c r="F11" s="4" t="str">
        <x:f>IF(O11&lt;&gt;1,P11,_xlfn.XLOOKUP(N11,Products!$A$7:$A$66,Products!$B$7:$B$66,"Unmatched",0))</x:f>
        <x:v>Tablet</x:v>
      </x:c>
      <x:c r="G11" s="4" t="str">
        <x:f>IF(O11&lt;&gt;1,P11,_xlfn.XLOOKUP(N11,Products!$A$7:$A$66,Products!$C$7:$C$66,"Unmatched",0))</x:f>
        <x:v>Electronics</x:v>
      </x:c>
      <x:c r="H11" s="10" t="n">
        <x:v>5</x:v>
      </x:c>
      <x:c r="I11" s="11" t="n">
        <x:v>4000</x:v>
      </x:c>
      <x:c r="J11" s="11" t="n">
        <x:v>3000</x:v>
      </x:c>
      <x:c r="K11" s="11" t="n">
        <x:v>3360</x:v>
      </x:c>
      <x:c r="L11" s="11" t="n">
        <x:v>20000</x:v>
      </x:c>
      <x:c r="M11" s="11" t="n">
        <x:v>17000</x:v>
      </x:c>
      <x:c r="N11" s="4" t="str">
        <x:f>IF(ISNUMBER(E11),"P"&amp;TEXT(E11,"000"),TRIM(E11))</x:f>
        <x:v>P060</x:v>
      </x:c>
      <x:c r="O11" s="4" t="n">
        <x:f>COUNTIFS(Products!$A$7:$A$66,N11)</x:f>
        <x:v>1</x:v>
      </x:c>
      <x:c r="P11" s="4" t="str">
        <x:f>IF(O11=0,"Unmatched",IF(O11&gt;1,"Ambiguous","Matched"))</x:f>
        <x:v>Matched</x:v>
      </x:c>
      <x:c r="Q11" s="4" t="str">
        <x:f>IF(O11&lt;&gt;1,P11,INDEX(Products!$C$7:$C$66,MATCH(N11,Products!$A$7:$A$66,0)))</x:f>
        <x:v>Electronics</x:v>
      </x:c>
      <x:c r="R11" s="1"/>
      <x:c r="S11" s="1"/>
      <x:c r="T11" s="1"/>
    </x:row>
    <x:row r="12" ht="22" customHeight="1">
      <x:c r="A12" s="4" t="str">
        <x:v>L2025-000510</x:v>
      </x:c>
      <x:c r="B12" s="4" t="str">
        <x:v>O2025-00204</x:v>
      </x:c>
      <x:c r="C12" s="9" t="n">
        <x:v>45664</x:v>
      </x:c>
      <x:c r="D12" s="4" t="str">
        <x:v>S05</x:v>
      </x:c>
      <x:c r="E12" s="4" t="str">
        <x:v>P032</x:v>
      </x:c>
      <x:c r="F12" s="4" t="str">
        <x:f>IF(O12&lt;&gt;1,P12,_xlfn.XLOOKUP(N12,Products!$A$7:$A$66,Products!$B$7:$B$66,"Unmatched",0))</x:f>
        <x:v>Drawing pad</x:v>
      </x:c>
      <x:c r="G12" s="4" t="str">
        <x:f>IF(O12&lt;&gt;1,P12,_xlfn.XLOOKUP(N12,Products!$A$7:$A$66,Products!$C$7:$C$66,"Unmatched",0))</x:f>
        <x:v>Stationery</x:v>
      </x:c>
      <x:c r="H12" s="10" t="n">
        <x:v>4</x:v>
      </x:c>
      <x:c r="I12" s="11" t="n">
        <x:v>120</x:v>
      </x:c>
      <x:c r="J12" s="11" t="n">
        <x:v>0</x:v>
      </x:c>
      <x:c r="K12" s="11" t="n">
        <x:v>62.4</x:v>
      </x:c>
      <x:c r="L12" s="11" t="n">
        <x:v>480</x:v>
      </x:c>
      <x:c r="M12" s="11" t="n">
        <x:v>480</x:v>
      </x:c>
      <x:c r="N12" s="4" t="str">
        <x:f>IF(ISNUMBER(E12),"P"&amp;TEXT(E12,"000"),TRIM(E12))</x:f>
        <x:v>P032</x:v>
      </x:c>
      <x:c r="O12" s="4" t="n">
        <x:f>COUNTIFS(Products!$A$7:$A$66,N12)</x:f>
        <x:v>1</x:v>
      </x:c>
      <x:c r="P12" s="4" t="str">
        <x:f>IF(O12=0,"Unmatched",IF(O12&gt;1,"Ambiguous","Matched"))</x:f>
        <x:v>Matched</x:v>
      </x:c>
      <x:c r="Q12" s="4" t="str">
        <x:f>IF(O12&lt;&gt;1,P12,INDEX(Products!$C$7:$C$66,MATCH(N12,Products!$A$7:$A$66,0)))</x:f>
        <x:v>Stationery</x:v>
      </x:c>
      <x:c r="R12" s="1"/>
      <x:c r="S12" s="1"/>
      <x:c r="T12" s="1"/>
    </x:row>
    <x:row r="13" ht="22" customHeight="1">
      <x:c r="A13" s="4" t="str">
        <x:v>L2025-001018</x:v>
      </x:c>
      <x:c r="B13" s="4" t="str">
        <x:v>O2025-00408</x:v>
      </x:c>
      <x:c r="C13" s="9" t="n">
        <x:v>45670</x:v>
      </x:c>
      <x:c r="D13" s="4" t="str">
        <x:v>WEB</x:v>
      </x:c>
      <x:c r="E13" s="4" t="str">
        <x:v>P052</x:v>
      </x:c>
      <x:c r="F13" s="4" t="str">
        <x:f>IF(O13&lt;&gt;1,P13,_xlfn.XLOOKUP(N13,Products!$A$7:$A$66,Products!$B$7:$B$66,"Unmatched",0))</x:f>
        <x:v>USB hub</x:v>
      </x:c>
      <x:c r="G13" s="4" t="str">
        <x:f>IF(O13&lt;&gt;1,P13,_xlfn.XLOOKUP(N13,Products!$A$7:$A$66,Products!$C$7:$C$66,"Unmatched",0))</x:f>
        <x:v>Electronics</x:v>
      </x:c>
      <x:c r="H13" s="10" t="n">
        <x:v>1</x:v>
      </x:c>
      <x:c r="I13" s="11" t="n">
        <x:v>2000</x:v>
      </x:c>
      <x:c r="J13" s="11" t="n">
        <x:v>400</x:v>
      </x:c>
      <x:c r="K13" s="11" t="n">
        <x:v>1680</x:v>
      </x:c>
      <x:c r="L13" s="11" t="n">
        <x:v>2000</x:v>
      </x:c>
      <x:c r="M13" s="11" t="n">
        <x:v>1600</x:v>
      </x:c>
      <x:c r="N13" s="4" t="str">
        <x:f>IF(ISNUMBER(E13),"P"&amp;TEXT(E13,"000"),TRIM(E13))</x:f>
        <x:v>P052</x:v>
      </x:c>
      <x:c r="O13" s="4" t="n">
        <x:f>COUNTIFS(Products!$A$7:$A$66,N13)</x:f>
        <x:v>1</x:v>
      </x:c>
      <x:c r="P13" s="4" t="str">
        <x:f>IF(O13=0,"Unmatched",IF(O13&gt;1,"Ambiguous","Matched"))</x:f>
        <x:v>Matched</x:v>
      </x:c>
      <x:c r="Q13" s="4" t="str">
        <x:f>IF(O13&lt;&gt;1,P13,INDEX(Products!$C$7:$C$66,MATCH(N13,Products!$A$7:$A$66,0)))</x:f>
        <x:v>Electronics</x:v>
      </x:c>
      <x:c r="R13" s="1"/>
      <x:c r="S13" s="1"/>
      <x:c r="T13" s="1"/>
    </x:row>
    <x:row r="14" ht="22" customHeight="1">
      <x:c r="A14" s="4" t="str">
        <x:v>L2025-001019</x:v>
      </x:c>
      <x:c r="B14" s="4" t="str">
        <x:v>O2025-00408</x:v>
      </x:c>
      <x:c r="C14" s="9" t="n">
        <x:v>45670</x:v>
      </x:c>
      <x:c r="D14" s="4" t="str">
        <x:v>WEB</x:v>
      </x:c>
      <x:c r="E14" s="4" t="str">
        <x:v>P034</x:v>
      </x:c>
      <x:c r="F14" s="4" t="str">
        <x:f>IF(O14&lt;&gt;1,P14,_xlfn.XLOOKUP(N14,Products!$A$7:$A$66,Products!$B$7:$B$66,"Unmatched",0))</x:f>
        <x:v>Desk tray</x:v>
      </x:c>
      <x:c r="G14" s="4" t="str">
        <x:f>IF(O14&lt;&gt;1,P14,_xlfn.XLOOKUP(N14,Products!$A$7:$A$66,Products!$C$7:$C$66,"Unmatched",0))</x:f>
        <x:v>Stationery</x:v>
      </x:c>
      <x:c r="H14" s="10" t="n">
        <x:v>4</x:v>
      </x:c>
      <x:c r="I14" s="11" t="n">
        <x:v>140</x:v>
      </x:c>
      <x:c r="J14" s="11" t="n">
        <x:v>112</x:v>
      </x:c>
      <x:c r="K14" s="11" t="n">
        <x:v>72.8</x:v>
      </x:c>
      <x:c r="L14" s="11" t="n">
        <x:v>560</x:v>
      </x:c>
      <x:c r="M14" s="11" t="n">
        <x:v>448</x:v>
      </x:c>
      <x:c r="N14" s="4" t="str">
        <x:f>IF(ISNUMBER(E14),"P"&amp;TEXT(E14,"000"),TRIM(E14))</x:f>
        <x:v>P034</x:v>
      </x:c>
      <x:c r="O14" s="4" t="n">
        <x:f>COUNTIFS(Products!$A$7:$A$66,N14)</x:f>
        <x:v>1</x:v>
      </x:c>
      <x:c r="P14" s="4" t="str">
        <x:f>IF(O14=0,"Unmatched",IF(O14&gt;1,"Ambiguous","Matched"))</x:f>
        <x:v>Matched</x:v>
      </x:c>
      <x:c r="Q14" s="4" t="str">
        <x:f>IF(O14&lt;&gt;1,P14,INDEX(Products!$C$7:$C$66,MATCH(N14,Products!$A$7:$A$66,0)))</x:f>
        <x:v>Stationery</x:v>
      </x:c>
      <x:c r="R14" s="1"/>
      <x:c r="S14" s="1"/>
      <x:c r="T14" s="1"/>
    </x:row>
    <x:row r="15" ht="22" customHeight="1">
      <x:c r="A15" s="4" t="str">
        <x:v>L2025-001020</x:v>
      </x:c>
      <x:c r="B15" s="4" t="str">
        <x:v>O2025-00408</x:v>
      </x:c>
      <x:c r="C15" s="9" t="n">
        <x:v>45670</x:v>
      </x:c>
      <x:c r="D15" s="4" t="str">
        <x:v>WEB</x:v>
      </x:c>
      <x:c r="E15" s="4" t="str">
        <x:v>P060</x:v>
      </x:c>
      <x:c r="F15" s="4" t="str">
        <x:f>IF(O15&lt;&gt;1,P15,_xlfn.XLOOKUP(N15,Products!$A$7:$A$66,Products!$B$7:$B$66,"Unmatched",0))</x:f>
        <x:v>Tablet</x:v>
      </x:c>
      <x:c r="G15" s="4" t="str">
        <x:f>IF(O15&lt;&gt;1,P15,_xlfn.XLOOKUP(N15,Products!$A$7:$A$66,Products!$C$7:$C$66,"Unmatched",0))</x:f>
        <x:v>Electronics</x:v>
      </x:c>
      <x:c r="H15" s="10" t="n">
        <x:v>4</x:v>
      </x:c>
      <x:c r="I15" s="11" t="n">
        <x:v>4000</x:v>
      </x:c>
      <x:c r="J15" s="11" t="n">
        <x:v>0</x:v>
      </x:c>
      <x:c r="K15" s="11" t="n">
        <x:v>3360</x:v>
      </x:c>
      <x:c r="L15" s="11" t="n">
        <x:v>16000</x:v>
      </x:c>
      <x:c r="M15" s="11" t="n">
        <x:v>16000</x:v>
      </x:c>
      <x:c r="N15" s="4" t="str">
        <x:f>IF(ISNUMBER(E15),"P"&amp;TEXT(E15,"000"),TRIM(E15))</x:f>
        <x:v>P060</x:v>
      </x:c>
      <x:c r="O15" s="4" t="n">
        <x:f>COUNTIFS(Products!$A$7:$A$66,N15)</x:f>
        <x:v>1</x:v>
      </x:c>
      <x:c r="P15" s="4" t="str">
        <x:f>IF(O15=0,"Unmatched",IF(O15&gt;1,"Ambiguous","Matched"))</x:f>
        <x:v>Matched</x:v>
      </x:c>
      <x:c r="Q15" s="4" t="str">
        <x:f>IF(O15&lt;&gt;1,P15,INDEX(Products!$C$7:$C$66,MATCH(N15,Products!$A$7:$A$66,0)))</x:f>
        <x:v>Electronics</x:v>
      </x:c>
      <x:c r="R15" s="1"/>
      <x:c r="S15" s="1"/>
      <x:c r="T15" s="1"/>
    </x:row>
    <x:row r="16" ht="22" customHeight="1">
      <x:c r="A16" s="4" t="str">
        <x:v>L2025-001528</x:v>
      </x:c>
      <x:c r="B16" s="4" t="str">
        <x:v>O2025-00612</x:v>
      </x:c>
      <x:c r="C16" s="9" t="n">
        <x:v>45676</x:v>
      </x:c>
      <x:c r="D16" s="4" t="str">
        <x:v>S01</x:v>
      </x:c>
      <x:c r="E16" s="4" t="str">
        <x:v>P003</x:v>
      </x:c>
      <x:c r="F16" s="4" t="str">
        <x:f>IF(O16&lt;&gt;1,P16,_xlfn.XLOOKUP(N16,Products!$A$7:$A$66,Products!$B$7:$B$66,"Unmatched",0))</x:f>
        <x:v>Storage jar</x:v>
      </x:c>
      <x:c r="G16" s="4" t="str">
        <x:f>IF(O16&lt;&gt;1,P16,_xlfn.XLOOKUP(N16,Products!$A$7:$A$66,Products!$C$7:$C$66,"Unmatched",0))</x:f>
        <x:v>Kitchen</x:v>
      </x:c>
      <x:c r="H16" s="10" t="n">
        <x:v>4</x:v>
      </x:c>
      <x:c r="I16" s="11" t="n">
        <x:v>252</x:v>
      </x:c>
      <x:c r="J16" s="11" t="n">
        <x:v>100.8</x:v>
      </x:c>
      <x:c r="K16" s="11" t="n">
        <x:v>151.2</x:v>
      </x:c>
      <x:c r="L16" s="11" t="n">
        <x:v>1008</x:v>
      </x:c>
      <x:c r="M16" s="11" t="n">
        <x:v>907.2</x:v>
      </x:c>
      <x:c r="N16" s="4" t="str">
        <x:f>IF(ISNUMBER(E16),"P"&amp;TEXT(E16,"000"),TRIM(E16))</x:f>
        <x:v>P003</x:v>
      </x:c>
      <x:c r="O16" s="4" t="n">
        <x:f>COUNTIFS(Products!$A$7:$A$66,N16)</x:f>
        <x:v>1</x:v>
      </x:c>
      <x:c r="P16" s="4" t="str">
        <x:f>IF(O16=0,"Unmatched",IF(O16&gt;1,"Ambiguous","Matched"))</x:f>
        <x:v>Matched</x:v>
      </x:c>
      <x:c r="Q16" s="4" t="str">
        <x:f>IF(O16&lt;&gt;1,P16,INDEX(Products!$C$7:$C$66,MATCH(N16,Products!$A$7:$A$66,0)))</x:f>
        <x:v>Kitchen</x:v>
      </x:c>
      <x:c r="R16" s="1"/>
      <x:c r="S16" s="1"/>
      <x:c r="T16" s="1"/>
    </x:row>
    <x:row r="17" ht="22" customHeight="1">
      <x:c r="A17" s="4" t="str">
        <x:v>L2025-001529</x:v>
      </x:c>
      <x:c r="B17" s="4" t="str">
        <x:v>O2025-00612</x:v>
      </x:c>
      <x:c r="C17" s="9" t="n">
        <x:v>45676</x:v>
      </x:c>
      <x:c r="D17" s="4" t="str">
        <x:v>S01</x:v>
      </x:c>
      <x:c r="E17" s="4" t="str">
        <x:v>P026</x:v>
      </x:c>
      <x:c r="F17" s="4" t="str">
        <x:f>IF(O17&lt;&gt;1,P17,_xlfn.XLOOKUP(N17,Products!$A$7:$A$66,Products!$B$7:$B$66,"Unmatched",0))</x:f>
        <x:v>Pen pack</x:v>
      </x:c>
      <x:c r="G17" s="4" t="str">
        <x:f>IF(O17&lt;&gt;1,P17,_xlfn.XLOOKUP(N17,Products!$A$7:$A$66,Products!$C$7:$C$66,"Unmatched",0))</x:f>
        <x:v>Stationery</x:v>
      </x:c>
      <x:c r="H17" s="10" t="n">
        <x:v>2</x:v>
      </x:c>
      <x:c r="I17" s="11" t="n">
        <x:v>60</x:v>
      </x:c>
      <x:c r="J17" s="11" t="n">
        <x:v>6</x:v>
      </x:c>
      <x:c r="K17" s="11" t="n">
        <x:v>31.2</x:v>
      </x:c>
      <x:c r="L17" s="11" t="n">
        <x:v>120</x:v>
      </x:c>
      <x:c r="M17" s="11" t="n">
        <x:v>114</x:v>
      </x:c>
      <x:c r="N17" s="4" t="str">
        <x:f>IF(ISNUMBER(E17),"P"&amp;TEXT(E17,"000"),TRIM(E17))</x:f>
        <x:v>P026</x:v>
      </x:c>
      <x:c r="O17" s="4" t="n">
        <x:f>COUNTIFS(Products!$A$7:$A$66,N17)</x:f>
        <x:v>1</x:v>
      </x:c>
      <x:c r="P17" s="4" t="str">
        <x:f>IF(O17=0,"Unmatched",IF(O17&gt;1,"Ambiguous","Matched"))</x:f>
        <x:v>Matched</x:v>
      </x:c>
      <x:c r="Q17" s="4" t="str">
        <x:f>IF(O17&lt;&gt;1,P17,INDEX(Products!$C$7:$C$66,MATCH(N17,Products!$A$7:$A$66,0)))</x:f>
        <x:v>Stationery</x:v>
      </x:c>
      <x:c r="R17" s="1"/>
      <x:c r="S17" s="1"/>
      <x:c r="T17" s="1"/>
    </x:row>
    <x:row r="18" ht="22" customHeight="1">
      <x:c r="A18" s="4" t="str">
        <x:v>L2025-001530</x:v>
      </x:c>
      <x:c r="B18" s="4" t="str">
        <x:v>O2025-00612</x:v>
      </x:c>
      <x:c r="C18" s="9" t="n">
        <x:v>45676</x:v>
      </x:c>
      <x:c r="D18" s="4" t="str">
        <x:v>S01</x:v>
      </x:c>
      <x:c r="E18" s="4" t="str">
        <x:v>P018</x:v>
      </x:c>
      <x:c r="F18" s="4" t="str">
        <x:f>IF(O18&lt;&gt;1,P18,_xlfn.XLOOKUP(N18,Products!$A$7:$A$66,Products!$B$7:$B$66,"Unmatched",0))</x:f>
        <x:v>Storage basket</x:v>
      </x:c>
      <x:c r="G18" s="4" t="str">
        <x:f>IF(O18&lt;&gt;1,P18,_xlfn.XLOOKUP(N18,Products!$A$7:$A$66,Products!$C$7:$C$66,"Unmatched",0))</x:f>
        <x:v>Home care</x:v>
      </x:c>
      <x:c r="H18" s="10" t="n">
        <x:v>5</x:v>
      </x:c>
      <x:c r="I18" s="11" t="n">
        <x:v>240</x:v>
      </x:c>
      <x:c r="J18" s="11" t="n">
        <x:v>240</x:v>
      </x:c>
      <x:c r="K18" s="11" t="n">
        <x:v>148.8</x:v>
      </x:c>
      <x:c r="L18" s="11" t="n">
        <x:v>1200</x:v>
      </x:c>
      <x:c r="M18" s="11" t="n">
        <x:v>960</x:v>
      </x:c>
      <x:c r="N18" s="4" t="str">
        <x:f>IF(ISNUMBER(E18),"P"&amp;TEXT(E18,"000"),TRIM(E18))</x:f>
        <x:v>P018</x:v>
      </x:c>
      <x:c r="O18" s="4" t="n">
        <x:f>COUNTIFS(Products!$A$7:$A$66,N18)</x:f>
        <x:v>1</x:v>
      </x:c>
      <x:c r="P18" s="4" t="str">
        <x:f>IF(O18=0,"Unmatched",IF(O18&gt;1,"Ambiguous","Matched"))</x:f>
        <x:v>Matched</x:v>
      </x:c>
      <x:c r="Q18" s="4" t="str">
        <x:f>IF(O18&lt;&gt;1,P18,INDEX(Products!$C$7:$C$66,MATCH(N18,Products!$A$7:$A$66,0)))</x:f>
        <x:v>Home care</x:v>
      </x:c>
      <x:c r="R18" s="1"/>
      <x:c r="S18" s="1"/>
      <x:c r="T18" s="1"/>
    </x:row>
    <x:row r="19" ht="22" customHeight="1">
      <x:c r="A19" s="4" t="str">
        <x:v>L2025-002038</x:v>
      </x:c>
      <x:c r="B19" s="4" t="str">
        <x:v>O2025-00816</x:v>
      </x:c>
      <x:c r="C19" s="9" t="n">
        <x:v>45682</x:v>
      </x:c>
      <x:c r="D19" s="4" t="str">
        <x:v>WEB</x:v>
      </x:c>
      <x:c r="E19" s="4" t="str">
        <x:v>P053</x:v>
      </x:c>
      <x:c r="F19" s="4" t="str">
        <x:f>IF(O19&lt;&gt;1,P19,_xlfn.XLOOKUP(N19,Products!$A$7:$A$66,Products!$B$7:$B$66,"Unmatched",0))</x:f>
        <x:v>Desk light</x:v>
      </x:c>
      <x:c r="G19" s="4" t="str">
        <x:f>IF(O19&lt;&gt;1,P19,_xlfn.XLOOKUP(N19,Products!$A$7:$A$66,Products!$C$7:$C$66,"Unmatched",0))</x:f>
        <x:v>Electronics</x:v>
      </x:c>
      <x:c r="H19" s="10" t="n">
        <x:v>4</x:v>
      </x:c>
      <x:c r="I19" s="11" t="n">
        <x:v>2250</x:v>
      </x:c>
      <x:c r="J19" s="11" t="n">
        <x:v>0</x:v>
      </x:c>
      <x:c r="K19" s="11" t="n">
        <x:v>1890</x:v>
      </x:c>
      <x:c r="L19" s="11" t="n">
        <x:v>9000</x:v>
      </x:c>
      <x:c r="M19" s="11" t="n">
        <x:v>9000</x:v>
      </x:c>
      <x:c r="N19" s="4" t="str">
        <x:f>IF(ISNUMBER(E19),"P"&amp;TEXT(E19,"000"),TRIM(E19))</x:f>
        <x:v>P053</x:v>
      </x:c>
      <x:c r="O19" s="4" t="n">
        <x:f>COUNTIFS(Products!$A$7:$A$66,N19)</x:f>
        <x:v>1</x:v>
      </x:c>
      <x:c r="P19" s="4" t="str">
        <x:f>IF(O19=0,"Unmatched",IF(O19&gt;1,"Ambiguous","Matched"))</x:f>
        <x:v>Matched</x:v>
      </x:c>
      <x:c r="Q19" s="4" t="str">
        <x:f>IF(O19&lt;&gt;1,P19,INDEX(Products!$C$7:$C$66,MATCH(N19,Products!$A$7:$A$66,0)))</x:f>
        <x:v>Electronics</x:v>
      </x:c>
      <x:c r="R19" s="1"/>
      <x:c r="S19" s="1"/>
      <x:c r="T19" s="1"/>
    </x:row>
    <x:row r="20" ht="22" customHeight="1">
      <x:c r="A20" s="4" t="str">
        <x:v>L2025-002039</x:v>
      </x:c>
      <x:c r="B20" s="4" t="str">
        <x:v>O2025-00816</x:v>
      </x:c>
      <x:c r="C20" s="9" t="n">
        <x:v>45682</x:v>
      </x:c>
      <x:c r="D20" s="4" t="str">
        <x:v>WEB</x:v>
      </x:c>
      <x:c r="E20" s="4" t="str">
        <x:v>P029</x:v>
      </x:c>
      <x:c r="F20" s="4" t="str">
        <x:f>IF(O20&lt;&gt;1,P20,_xlfn.XLOOKUP(N20,Products!$A$7:$A$66,Products!$B$7:$B$66,"Unmatched",0))</x:f>
        <x:v>Ruler</x:v>
      </x:c>
      <x:c r="G20" s="4" t="str">
        <x:f>IF(O20&lt;&gt;1,P20,_xlfn.XLOOKUP(N20,Products!$A$7:$A$66,Products!$C$7:$C$66,"Unmatched",0))</x:f>
        <x:v>Stationery</x:v>
      </x:c>
      <x:c r="H20" s="10" t="n">
        <x:v>3</x:v>
      </x:c>
      <x:c r="I20" s="11" t="n">
        <x:v>90</x:v>
      </x:c>
      <x:c r="J20" s="11" t="n">
        <x:v>54</x:v>
      </x:c>
      <x:c r="K20" s="11" t="n">
        <x:v>46.8</x:v>
      </x:c>
      <x:c r="L20" s="11" t="n">
        <x:v>270</x:v>
      </x:c>
      <x:c r="M20" s="11" t="n">
        <x:v>216</x:v>
      </x:c>
      <x:c r="N20" s="4" t="str">
        <x:f>IF(ISNUMBER(E20),"P"&amp;TEXT(E20,"000"),TRIM(E20))</x:f>
        <x:v>P029</x:v>
      </x:c>
      <x:c r="O20" s="4" t="n">
        <x:f>COUNTIFS(Products!$A$7:$A$66,N20)</x:f>
        <x:v>1</x:v>
      </x:c>
      <x:c r="P20" s="4" t="str">
        <x:f>IF(O20=0,"Unmatched",IF(O20&gt;1,"Ambiguous","Matched"))</x:f>
        <x:v>Matched</x:v>
      </x:c>
      <x:c r="Q20" s="4" t="str">
        <x:f>IF(O20&lt;&gt;1,P20,INDEX(Products!$C$7:$C$66,MATCH(N20,Products!$A$7:$A$66,0)))</x:f>
        <x:v>Stationery</x:v>
      </x:c>
      <x:c r="R20" s="1"/>
      <x:c r="S20" s="1"/>
      <x:c r="T20" s="1"/>
    </x:row>
    <x:row r="21" ht="22" customHeight="1">
      <x:c r="A21" s="4" t="str">
        <x:v>L2025-002040</x:v>
      </x:c>
      <x:c r="B21" s="4" t="str">
        <x:v>O2025-00816</x:v>
      </x:c>
      <x:c r="C21" s="9" t="n">
        <x:v>45682</x:v>
      </x:c>
      <x:c r="D21" s="4" t="str">
        <x:v>WEB</x:v>
      </x:c>
      <x:c r="E21" s="4" t="str">
        <x:v>P007</x:v>
      </x:c>
      <x:c r="F21" s="4" t="str">
        <x:f>IF(O21&lt;&gt;1,P21,_xlfn.XLOOKUP(N21,Products!$A$7:$A$66,Products!$B$7:$B$66,"Unmatched",0))</x:f>
        <x:v>Measuring cup</x:v>
      </x:c>
      <x:c r="G21" s="4" t="str">
        <x:f>IF(O21&lt;&gt;1,P21,_xlfn.XLOOKUP(N21,Products!$A$7:$A$66,Products!$C$7:$C$66,"Unmatched",0))</x:f>
        <x:v>Kitchen</x:v>
      </x:c>
      <x:c r="H21" s="10" t="n">
        <x:v>3</x:v>
      </x:c>
      <x:c r="I21" s="11" t="n">
        <x:v>396</x:v>
      </x:c>
      <x:c r="J21" s="11" t="n">
        <x:v>237.6</x:v>
      </x:c>
      <x:c r="K21" s="11" t="n">
        <x:v>237.6</x:v>
      </x:c>
      <x:c r="L21" s="11" t="n">
        <x:v>1188</x:v>
      </x:c>
      <x:c r="M21" s="11" t="n">
        <x:v>950.4</x:v>
      </x:c>
      <x:c r="N21" s="4" t="str">
        <x:f>IF(ISNUMBER(E21),"P"&amp;TEXT(E21,"000"),TRIM(E21))</x:f>
        <x:v>P007</x:v>
      </x:c>
      <x:c r="O21" s="4" t="n">
        <x:f>COUNTIFS(Products!$A$7:$A$66,N21)</x:f>
        <x:v>1</x:v>
      </x:c>
      <x:c r="P21" s="4" t="str">
        <x:f>IF(O21=0,"Unmatched",IF(O21&gt;1,"Ambiguous","Matched"))</x:f>
        <x:v>Matched</x:v>
      </x:c>
      <x:c r="Q21" s="4" t="str">
        <x:f>IF(O21&lt;&gt;1,P21,INDEX(Products!$C$7:$C$66,MATCH(N21,Products!$A$7:$A$66,0)))</x:f>
        <x:v>Kitchen</x:v>
      </x:c>
      <x:c r="R21" s="1"/>
      <x:c r="S21" s="1"/>
      <x:c r="T21" s="1"/>
    </x:row>
    <x:row r="22" ht="22" customHeight="1">
      <x:c r="A22" s="4" t="str">
        <x:v>L2025-002548</x:v>
      </x:c>
      <x:c r="B22" s="4" t="str">
        <x:v>O2025-01020</x:v>
      </x:c>
      <x:c r="C22" s="9" t="n">
        <x:v>45688</x:v>
      </x:c>
      <x:c r="D22" s="4" t="str">
        <x:v>S04</x:v>
      </x:c>
      <x:c r="E22" s="4" t="str">
        <x:v>P051</x:v>
      </x:c>
      <x:c r="F22" s="4" t="str">
        <x:f>IF(O22&lt;&gt;1,P22,_xlfn.XLOOKUP(N22,Products!$A$7:$A$66,Products!$B$7:$B$66,"Unmatched",0))</x:f>
        <x:v>Keyboard</x:v>
      </x:c>
      <x:c r="G22" s="4" t="str">
        <x:f>IF(O22&lt;&gt;1,P22,_xlfn.XLOOKUP(N22,Products!$A$7:$A$66,Products!$C$7:$C$66,"Unmatched",0))</x:f>
        <x:v>Electronics</x:v>
      </x:c>
      <x:c r="H22" s="10" t="n">
        <x:v>4</x:v>
      </x:c>
      <x:c r="I22" s="11" t="n">
        <x:v>1750</x:v>
      </x:c>
      <x:c r="J22" s="11" t="n">
        <x:v>700</x:v>
      </x:c>
      <x:c r="K22" s="11" t="n">
        <x:v>1470</x:v>
      </x:c>
      <x:c r="L22" s="11" t="n">
        <x:v>7000</x:v>
      </x:c>
      <x:c r="M22" s="11" t="n">
        <x:v>6300</x:v>
      </x:c>
      <x:c r="N22" s="4" t="str">
        <x:f>IF(ISNUMBER(E22),"P"&amp;TEXT(E22,"000"),TRIM(E22))</x:f>
        <x:v>P051</x:v>
      </x:c>
      <x:c r="O22" s="4" t="n">
        <x:f>COUNTIFS(Products!$A$7:$A$66,N22)</x:f>
        <x:v>1</x:v>
      </x:c>
      <x:c r="P22" s="4" t="str">
        <x:f>IF(O22=0,"Unmatched",IF(O22&gt;1,"Ambiguous","Matched"))</x:f>
        <x:v>Matched</x:v>
      </x:c>
      <x:c r="Q22" s="4" t="str">
        <x:f>IF(O22&lt;&gt;1,P22,INDEX(Products!$C$7:$C$66,MATCH(N22,Products!$A$7:$A$66,0)))</x:f>
        <x:v>Electronics</x:v>
      </x:c>
      <x:c r="R22" s="1"/>
      <x:c r="S22" s="1"/>
      <x:c r="T22" s="1"/>
    </x:row>
    <x:row r="23" ht="22" customHeight="1">
      <x:c r="A23" s="4" t="str">
        <x:v>L2025-002549</x:v>
      </x:c>
      <x:c r="B23" s="4" t="str">
        <x:v>O2025-01020</x:v>
      </x:c>
      <x:c r="C23" s="9" t="n">
        <x:v>45688</x:v>
      </x:c>
      <x:c r="D23" s="4" t="str">
        <x:v>S04</x:v>
      </x:c>
      <x:c r="E23" s="4" t="str">
        <x:v>P025</x:v>
      </x:c>
      <x:c r="F23" s="4" t="str">
        <x:f>IF(O23&lt;&gt;1,P23,_xlfn.XLOOKUP(N23,Products!$A$7:$A$66,Products!$B$7:$B$66,"Unmatched",0))</x:f>
        <x:v>Notebook</x:v>
      </x:c>
      <x:c r="G23" s="4" t="str">
        <x:f>IF(O23&lt;&gt;1,P23,_xlfn.XLOOKUP(N23,Products!$A$7:$A$66,Products!$C$7:$C$66,"Unmatched",0))</x:f>
        <x:v>Stationery</x:v>
      </x:c>
      <x:c r="H23" s="10" t="n">
        <x:v>3</x:v>
      </x:c>
      <x:c r="I23" s="11" t="n">
        <x:v>50</x:v>
      </x:c>
      <x:c r="J23" s="11" t="n">
        <x:v>15</x:v>
      </x:c>
      <x:c r="K23" s="11" t="n">
        <x:v>26</x:v>
      </x:c>
      <x:c r="L23" s="11" t="n">
        <x:v>150</x:v>
      </x:c>
      <x:c r="M23" s="11" t="n">
        <x:v>135</x:v>
      </x:c>
      <x:c r="N23" s="4" t="str">
        <x:f>IF(ISNUMBER(E23),"P"&amp;TEXT(E23,"000"),TRIM(E23))</x:f>
        <x:v>P025</x:v>
      </x:c>
      <x:c r="O23" s="4" t="n">
        <x:f>COUNTIFS(Products!$A$7:$A$66,N23)</x:f>
        <x:v>1</x:v>
      </x:c>
      <x:c r="P23" s="4" t="str">
        <x:f>IF(O23=0,"Unmatched",IF(O23&gt;1,"Ambiguous","Matched"))</x:f>
        <x:v>Matched</x:v>
      </x:c>
      <x:c r="Q23" s="4" t="str">
        <x:f>IF(O23&lt;&gt;1,P23,INDEX(Products!$C$7:$C$66,MATCH(N23,Products!$A$7:$A$66,0)))</x:f>
        <x:v>Stationery</x:v>
      </x:c>
      <x:c r="R23" s="1"/>
      <x:c r="S23" s="1"/>
      <x:c r="T23" s="1"/>
    </x:row>
    <x:row r="24" ht="22" customHeight="1">
      <x:c r="A24" s="4" t="str">
        <x:v>L2025-002550</x:v>
      </x:c>
      <x:c r="B24" s="4" t="str">
        <x:v>O2025-01020</x:v>
      </x:c>
      <x:c r="C24" s="9" t="n">
        <x:v>45688</x:v>
      </x:c>
      <x:c r="D24" s="4" t="str">
        <x:v>S04</x:v>
      </x:c>
      <x:c r="E24" s="4" t="str">
        <x:v>P028</x:v>
      </x:c>
      <x:c r="F24" s="4" t="str">
        <x:f>IF(O24&lt;&gt;1,P24,_xlfn.XLOOKUP(N24,Products!$A$7:$A$66,Products!$B$7:$B$66,"Unmatched",0))</x:f>
        <x:v>Eraser pack</x:v>
      </x:c>
      <x:c r="G24" s="4" t="str">
        <x:f>IF(O24&lt;&gt;1,P24,_xlfn.XLOOKUP(N24,Products!$A$7:$A$66,Products!$C$7:$C$66,"Unmatched",0))</x:f>
        <x:v>Stationery</x:v>
      </x:c>
      <x:c r="H24" s="10" t="n">
        <x:v>3</x:v>
      </x:c>
      <x:c r="I24" s="11" t="n">
        <x:v>80</x:v>
      </x:c>
      <x:c r="J24" s="11" t="n">
        <x:v>0</x:v>
      </x:c>
      <x:c r="K24" s="11" t="n">
        <x:v>41.6</x:v>
      </x:c>
      <x:c r="L24" s="11" t="n">
        <x:v>240</x:v>
      </x:c>
      <x:c r="M24" s="11" t="n">
        <x:v>240</x:v>
      </x:c>
      <x:c r="N24" s="4" t="str">
        <x:f>IF(ISNUMBER(E24),"P"&amp;TEXT(E24,"000"),TRIM(E24))</x:f>
        <x:v>P028</x:v>
      </x:c>
      <x:c r="O24" s="4" t="n">
        <x:f>COUNTIFS(Products!$A$7:$A$66,N24)</x:f>
        <x:v>1</x:v>
      </x:c>
      <x:c r="P24" s="4" t="str">
        <x:f>IF(O24=0,"Unmatched",IF(O24&gt;1,"Ambiguous","Matched"))</x:f>
        <x:v>Matched</x:v>
      </x:c>
      <x:c r="Q24" s="4" t="str">
        <x:f>IF(O24&lt;&gt;1,P24,INDEX(Products!$C$7:$C$66,MATCH(N24,Products!$A$7:$A$66,0)))</x:f>
        <x:v>Stationery</x:v>
      </x:c>
      <x:c r="R24" s="1"/>
      <x:c r="S24" s="1"/>
      <x:c r="T24" s="1"/>
    </x:row>
    <x:row r="25" ht="22" customHeight="1">
      <x:c r="A25" s="4" t="str">
        <x:v>L2025-002551</x:v>
      </x:c>
      <x:c r="B25" s="4" t="str">
        <x:v>O2025-01021</x:v>
      </x:c>
      <x:c r="C25" s="9" t="n">
        <x:v>45689</x:v>
      </x:c>
      <x:c r="D25" s="4" t="str">
        <x:v>S02</x:v>
      </x:c>
      <x:c r="E25" s="4" t="str">
        <x:v>P047</x:v>
      </x:c>
      <x:c r="F25" s="4" t="str">
        <x:f>IF(O25&lt;&gt;1,P25,_xlfn.XLOOKUP(N25,Products!$A$7:$A$66,Products!$B$7:$B$66,"Unmatched",0))</x:f>
        <x:v>Grooming kit</x:v>
      </x:c>
      <x:c r="G25" s="4" t="str">
        <x:f>IF(O25&lt;&gt;1,P25,_xlfn.XLOOKUP(N25,Products!$A$7:$A$66,Products!$C$7:$C$66,"Unmatched",0))</x:f>
        <x:v>Personal care</x:v>
      </x:c>
      <x:c r="H25" s="10" t="n">
        <x:v>3</x:v>
      </x:c>
      <x:c r="I25" s="11" t="n">
        <x:v>420</x:v>
      </x:c>
      <x:c r="J25" s="11" t="n">
        <x:v>0</x:v>
      </x:c>
      <x:c r="K25" s="11" t="n">
        <x:v>268.8</x:v>
      </x:c>
      <x:c r="L25" s="11" t="n">
        <x:v>1260</x:v>
      </x:c>
      <x:c r="M25" s="11" t="n">
        <x:v>1260</x:v>
      </x:c>
      <x:c r="N25" s="4" t="str">
        <x:f>IF(ISNUMBER(E25),"P"&amp;TEXT(E25,"000"),TRIM(E25))</x:f>
        <x:v>P047</x:v>
      </x:c>
      <x:c r="O25" s="4" t="n">
        <x:f>COUNTIFS(Products!$A$7:$A$66,N25)</x:f>
        <x:v>1</x:v>
      </x:c>
      <x:c r="P25" s="4" t="str">
        <x:f>IF(O25=0,"Unmatched",IF(O25&gt;1,"Ambiguous","Matched"))</x:f>
        <x:v>Matched</x:v>
      </x:c>
      <x:c r="Q25" s="4" t="str">
        <x:f>IF(O25&lt;&gt;1,P25,INDEX(Products!$C$7:$C$66,MATCH(N25,Products!$A$7:$A$66,0)))</x:f>
        <x:v>Personal care</x:v>
      </x:c>
      <x:c r="R25" s="1"/>
      <x:c r="S25" s="1"/>
      <x:c r="T25" s="1"/>
    </x:row>
    <x:row r="26" ht="22" customHeight="1">
      <x:c r="A26" s="4" t="str">
        <x:v>L2025-002552</x:v>
      </x:c>
      <x:c r="B26" s="4" t="str">
        <x:v>O2025-01021</x:v>
      </x:c>
      <x:c r="C26" s="9" t="n">
        <x:v>45689</x:v>
      </x:c>
      <x:c r="D26" s="4" t="str">
        <x:v>S02</x:v>
      </x:c>
      <x:c r="E26" s="4" t="str">
        <x:v>P029</x:v>
      </x:c>
      <x:c r="F26" s="4" t="str">
        <x:f>IF(O26&lt;&gt;1,P26,_xlfn.XLOOKUP(N26,Products!$A$7:$A$66,Products!$B$7:$B$66,"Unmatched",0))</x:f>
        <x:v>Ruler</x:v>
      </x:c>
      <x:c r="G26" s="4" t="str">
        <x:f>IF(O26&lt;&gt;1,P26,_xlfn.XLOOKUP(N26,Products!$A$7:$A$66,Products!$C$7:$C$66,"Unmatched",0))</x:f>
        <x:v>Stationery</x:v>
      </x:c>
      <x:c r="H26" s="10" t="n">
        <x:v>2</x:v>
      </x:c>
      <x:c r="I26" s="11" t="n">
        <x:v>90</x:v>
      </x:c>
      <x:c r="J26" s="11" t="n">
        <x:v>36</x:v>
      </x:c>
      <x:c r="K26" s="11" t="n">
        <x:v>46.8</x:v>
      </x:c>
      <x:c r="L26" s="11" t="n">
        <x:v>180</x:v>
      </x:c>
      <x:c r="M26" s="11" t="n">
        <x:v>144</x:v>
      </x:c>
      <x:c r="N26" s="4" t="str">
        <x:f>IF(ISNUMBER(E26),"P"&amp;TEXT(E26,"000"),TRIM(E26))</x:f>
        <x:v>P029</x:v>
      </x:c>
      <x:c r="O26" s="4" t="n">
        <x:f>COUNTIFS(Products!$A$7:$A$66,N26)</x:f>
        <x:v>1</x:v>
      </x:c>
      <x:c r="P26" s="4" t="str">
        <x:f>IF(O26=0,"Unmatched",IF(O26&gt;1,"Ambiguous","Matched"))</x:f>
        <x:v>Matched</x:v>
      </x:c>
      <x:c r="Q26" s="4" t="str">
        <x:f>IF(O26&lt;&gt;1,P26,INDEX(Products!$C$7:$C$66,MATCH(N26,Products!$A$7:$A$66,0)))</x:f>
        <x:v>Stationery</x:v>
      </x:c>
      <x:c r="R26" s="1"/>
      <x:c r="S26" s="1"/>
      <x:c r="T26" s="1"/>
    </x:row>
    <x:row r="27" ht="22" customHeight="1">
      <x:c r="A27" s="4" t="str">
        <x:v>L2025-003011</x:v>
      </x:c>
      <x:c r="B27" s="4" t="str">
        <x:v>O2025-01205</x:v>
      </x:c>
      <x:c r="C27" s="9" t="n">
        <x:v>45694</x:v>
      </x:c>
      <x:c r="D27" s="4" t="str">
        <x:v>S02</x:v>
      </x:c>
      <x:c r="E27" s="4" t="str">
        <x:v>P013</x:v>
      </x:c>
      <x:c r="F27" s="4" t="str">
        <x:f>IF(O27&lt;&gt;1,P27,_xlfn.XLOOKUP(N27,Products!$A$7:$A$66,Products!$B$7:$B$66,"Unmatched",0))</x:f>
        <x:v>Cleaning cloth</x:v>
      </x:c>
      <x:c r="G27" s="4" t="str">
        <x:f>IF(O27&lt;&gt;1,P27,_xlfn.XLOOKUP(N27,Products!$A$7:$A$66,Products!$C$7:$C$66,"Unmatched",0))</x:f>
        <x:v>Home care</x:v>
      </x:c>
      <x:c r="H27" s="10" t="n">
        <x:v>4</x:v>
      </x:c>
      <x:c r="I27" s="11" t="n">
        <x:v>120</x:v>
      </x:c>
      <x:c r="J27" s="11" t="n">
        <x:v>24</x:v>
      </x:c>
      <x:c r="K27" s="11" t="n">
        <x:v>74.4</x:v>
      </x:c>
      <x:c r="L27" s="11" t="n">
        <x:v>480</x:v>
      </x:c>
      <x:c r="M27" s="11" t="n">
        <x:v>456</x:v>
      </x:c>
      <x:c r="N27" s="4" t="str">
        <x:f>IF(ISNUMBER(E27),"P"&amp;TEXT(E27,"000"),TRIM(E27))</x:f>
        <x:v>P013</x:v>
      </x:c>
      <x:c r="O27" s="4" t="n">
        <x:f>COUNTIFS(Products!$A$7:$A$66,N27)</x:f>
        <x:v>1</x:v>
      </x:c>
      <x:c r="P27" s="4" t="str">
        <x:f>IF(O27=0,"Unmatched",IF(O27&gt;1,"Ambiguous","Matched"))</x:f>
        <x:v>Matched</x:v>
      </x:c>
      <x:c r="Q27" s="4" t="str">
        <x:f>IF(O27&lt;&gt;1,P27,INDEX(Products!$C$7:$C$66,MATCH(N27,Products!$A$7:$A$66,0)))</x:f>
        <x:v>Home care</x:v>
      </x:c>
      <x:c r="R27" s="1"/>
      <x:c r="S27" s="1"/>
      <x:c r="T27" s="1"/>
    </x:row>
    <x:row r="28" ht="22" customHeight="1">
      <x:c r="A28" s="4" t="str">
        <x:v>L2025-003012</x:v>
      </x:c>
      <x:c r="B28" s="4" t="str">
        <x:v>O2025-01205</x:v>
      </x:c>
      <x:c r="C28" s="9" t="n">
        <x:v>45694</x:v>
      </x:c>
      <x:c r="D28" s="4" t="str">
        <x:v>S02</x:v>
      </x:c>
      <x:c r="E28" s="4" t="str">
        <x:v>P054</x:v>
      </x:c>
      <x:c r="F28" s="4" t="str">
        <x:f>IF(O28&lt;&gt;1,P28,_xlfn.XLOOKUP(N28,Products!$A$7:$A$66,Products!$B$7:$B$66,"Unmatched",0))</x:f>
        <x:v>Earphones</x:v>
      </x:c>
      <x:c r="G28" s="4" t="str">
        <x:f>IF(O28&lt;&gt;1,P28,_xlfn.XLOOKUP(N28,Products!$A$7:$A$66,Products!$C$7:$C$66,"Unmatched",0))</x:f>
        <x:v>Electronics</x:v>
      </x:c>
      <x:c r="H28" s="10" t="n">
        <x:v>2</x:v>
      </x:c>
      <x:c r="I28" s="11" t="n">
        <x:v>2500</x:v>
      </x:c>
      <x:c r="J28" s="11" t="n">
        <x:v>1000</x:v>
      </x:c>
      <x:c r="K28" s="11" t="n">
        <x:v>2100</x:v>
      </x:c>
      <x:c r="L28" s="11" t="n">
        <x:v>5000</x:v>
      </x:c>
      <x:c r="M28" s="11" t="n">
        <x:v>4000</x:v>
      </x:c>
      <x:c r="N28" s="4" t="str">
        <x:f>IF(ISNUMBER(E28),"P"&amp;TEXT(E28,"000"),TRIM(E28))</x:f>
        <x:v>P054</x:v>
      </x:c>
      <x:c r="O28" s="4" t="n">
        <x:f>COUNTIFS(Products!$A$7:$A$66,N28)</x:f>
        <x:v>1</x:v>
      </x:c>
      <x:c r="P28" s="4" t="str">
        <x:f>IF(O28=0,"Unmatched",IF(O28&gt;1,"Ambiguous","Matched"))</x:f>
        <x:v>Matched</x:v>
      </x:c>
      <x:c r="Q28" s="4" t="str">
        <x:f>IF(O28&lt;&gt;1,P28,INDEX(Products!$C$7:$C$66,MATCH(N28,Products!$A$7:$A$66,0)))</x:f>
        <x:v>Electronics</x:v>
      </x:c>
      <x:c r="R28" s="1"/>
      <x:c r="S28" s="1"/>
      <x:c r="T28" s="1"/>
    </x:row>
    <x:row r="29" ht="22" customHeight="1">
      <x:c r="A29" s="4" t="str">
        <x:v>L2025-003468</x:v>
      </x:c>
      <x:c r="B29" s="4" t="str">
        <x:v>O2025-01388</x:v>
      </x:c>
      <x:c r="C29" s="9" t="n">
        <x:v>45700</x:v>
      </x:c>
      <x:c r="D29" s="4" t="str">
        <x:v>S04</x:v>
      </x:c>
      <x:c r="E29" s="4" t="str">
        <x:v>P039</x:v>
      </x:c>
      <x:c r="F29" s="4" t="str">
        <x:f>IF(O29&lt;&gt;1,P29,_xlfn.XLOOKUP(N29,Products!$A$7:$A$66,Products!$B$7:$B$66,"Unmatched",0))</x:f>
        <x:v>Hand wash</x:v>
      </x:c>
      <x:c r="G29" s="4" t="str">
        <x:f>IF(O29&lt;&gt;1,P29,_xlfn.XLOOKUP(N29,Products!$A$7:$A$66,Products!$C$7:$C$66,"Unmatched",0))</x:f>
        <x:v>Personal care</x:v>
      </x:c>
      <x:c r="H29" s="10" t="n">
        <x:v>3</x:v>
      </x:c>
      <x:c r="I29" s="11" t="n">
        <x:v>196</x:v>
      </x:c>
      <x:c r="J29" s="11" t="n">
        <x:v>29.4</x:v>
      </x:c>
      <x:c r="K29" s="11" t="n">
        <x:v>125.44</x:v>
      </x:c>
      <x:c r="L29" s="11" t="n">
        <x:v>588</x:v>
      </x:c>
      <x:c r="M29" s="11" t="n">
        <x:v>558.6</x:v>
      </x:c>
      <x:c r="N29" s="4" t="str">
        <x:f>IF(ISNUMBER(E29),"P"&amp;TEXT(E29,"000"),TRIM(E29))</x:f>
        <x:v>P039</x:v>
      </x:c>
      <x:c r="O29" s="4" t="n">
        <x:f>COUNTIFS(Products!$A$7:$A$66,N29)</x:f>
        <x:v>1</x:v>
      </x:c>
      <x:c r="P29" s="4" t="str">
        <x:f>IF(O29=0,"Unmatched",IF(O29&gt;1,"Ambiguous","Matched"))</x:f>
        <x:v>Matched</x:v>
      </x:c>
      <x:c r="Q29" s="4" t="str">
        <x:f>IF(O29&lt;&gt;1,P29,INDEX(Products!$C$7:$C$66,MATCH(N29,Products!$A$7:$A$66,0)))</x:f>
        <x:v>Personal care</x:v>
      </x:c>
      <x:c r="R29" s="1"/>
      <x:c r="S29" s="1"/>
      <x:c r="T29" s="1"/>
    </x:row>
    <x:row r="30" ht="22" customHeight="1">
      <x:c r="A30" s="4" t="str">
        <x:v>L2025-003469</x:v>
      </x:c>
      <x:c r="B30" s="4" t="str">
        <x:v>O2025-01388</x:v>
      </x:c>
      <x:c r="C30" s="9" t="n">
        <x:v>45700</x:v>
      </x:c>
      <x:c r="D30" s="4" t="str">
        <x:v>S04</x:v>
      </x:c>
      <x:c r="E30" s="4" t="str">
        <x:v>P001</x:v>
      </x:c>
      <x:c r="F30" s="4" t="str">
        <x:f>IF(O30&lt;&gt;1,P30,_xlfn.XLOOKUP(N30,Products!$A$7:$A$66,Products!$B$7:$B$66,"Unmatched",0))</x:f>
        <x:v>Steel cup</x:v>
      </x:c>
      <x:c r="G30" s="4" t="str">
        <x:f>IF(O30&lt;&gt;1,P30,_xlfn.XLOOKUP(N30,Products!$A$7:$A$66,Products!$C$7:$C$66,"Unmatched",0))</x:f>
        <x:v>Kitchen</x:v>
      </x:c>
      <x:c r="H30" s="10" t="n">
        <x:v>4</x:v>
      </x:c>
      <x:c r="I30" s="11" t="n">
        <x:v>180</x:v>
      </x:c>
      <x:c r="J30" s="11" t="n">
        <x:v>0</x:v>
      </x:c>
      <x:c r="K30" s="11" t="n">
        <x:v>108</x:v>
      </x:c>
      <x:c r="L30" s="11" t="n">
        <x:v>720</x:v>
      </x:c>
      <x:c r="M30" s="11" t="n">
        <x:v>720</x:v>
      </x:c>
      <x:c r="N30" s="4" t="str">
        <x:f>IF(ISNUMBER(E30),"P"&amp;TEXT(E30,"000"),TRIM(E30))</x:f>
        <x:v>P001</x:v>
      </x:c>
      <x:c r="O30" s="4" t="n">
        <x:f>COUNTIFS(Products!$A$7:$A$66,N30)</x:f>
        <x:v>1</x:v>
      </x:c>
      <x:c r="P30" s="4" t="str">
        <x:f>IF(O30=0,"Unmatched",IF(O30&gt;1,"Ambiguous","Matched"))</x:f>
        <x:v>Matched</x:v>
      </x:c>
      <x:c r="Q30" s="4" t="str">
        <x:f>IF(O30&lt;&gt;1,P30,INDEX(Products!$C$7:$C$66,MATCH(N30,Products!$A$7:$A$66,0)))</x:f>
        <x:v>Kitchen</x:v>
      </x:c>
      <x:c r="R30" s="1"/>
      <x:c r="S30" s="1"/>
      <x:c r="T30" s="1"/>
    </x:row>
    <x:row r="31" ht="22" customHeight="1">
      <x:c r="A31" s="4" t="str">
        <x:v>L2025-003470</x:v>
      </x:c>
      <x:c r="B31" s="4" t="str">
        <x:v>O2025-01388</x:v>
      </x:c>
      <x:c r="C31" s="9" t="n">
        <x:v>45700</x:v>
      </x:c>
      <x:c r="D31" s="4" t="str">
        <x:v>S04</x:v>
      </x:c>
      <x:c r="E31" s="4" t="str">
        <x:v>P059</x:v>
      </x:c>
      <x:c r="F31" s="4" t="str">
        <x:f>IF(O31&lt;&gt;1,P31,_xlfn.XLOOKUP(N31,Products!$A$7:$A$66,Products!$B$7:$B$66,"Unmatched",0))</x:f>
        <x:v>Monitor</x:v>
      </x:c>
      <x:c r="G31" s="4" t="str">
        <x:f>IF(O31&lt;&gt;1,P31,_xlfn.XLOOKUP(N31,Products!$A$7:$A$66,Products!$C$7:$C$66,"Unmatched",0))</x:f>
        <x:v>Electronics</x:v>
      </x:c>
      <x:c r="H31" s="10" t="n">
        <x:v>3</x:v>
      </x:c>
      <x:c r="I31" s="11" t="n">
        <x:v>3750</x:v>
      </x:c>
      <x:c r="J31" s="11" t="n">
        <x:v>1125</x:v>
      </x:c>
      <x:c r="K31" s="11" t="n">
        <x:v>3150</x:v>
      </x:c>
      <x:c r="L31" s="11" t="n">
        <x:v>11250</x:v>
      </x:c>
      <x:c r="M31" s="11" t="n">
        <x:v>10125</x:v>
      </x:c>
      <x:c r="N31" s="4" t="str">
        <x:f>IF(ISNUMBER(E31),"P"&amp;TEXT(E31,"000"),TRIM(E31))</x:f>
        <x:v>P059</x:v>
      </x:c>
      <x:c r="O31" s="4" t="n">
        <x:f>COUNTIFS(Products!$A$7:$A$66,N31)</x:f>
        <x:v>1</x:v>
      </x:c>
      <x:c r="P31" s="4" t="str">
        <x:f>IF(O31=0,"Unmatched",IF(O31&gt;1,"Ambiguous","Matched"))</x:f>
        <x:v>Matched</x:v>
      </x:c>
      <x:c r="Q31" s="4" t="str">
        <x:f>IF(O31&lt;&gt;1,P31,INDEX(Products!$C$7:$C$66,MATCH(N31,Products!$A$7:$A$66,0)))</x:f>
        <x:v>Electronics</x:v>
      </x:c>
      <x:c r="R31" s="1"/>
      <x:c r="S31" s="1"/>
      <x:c r="T31" s="1"/>
    </x:row>
    <x:row r="32" ht="22" customHeight="1">
      <x:c r="A32" s="4" t="str">
        <x:v>L2025-003928</x:v>
      </x:c>
      <x:c r="B32" s="4" t="str">
        <x:v>O2025-01572</x:v>
      </x:c>
      <x:c r="C32" s="9" t="n">
        <x:v>45705</x:v>
      </x:c>
      <x:c r="D32" s="4" t="str">
        <x:v>WEB</x:v>
      </x:c>
      <x:c r="E32" s="4" t="str">
        <x:v>P002</x:v>
      </x:c>
      <x:c r="F32" s="4" t="str">
        <x:f>IF(O32&lt;&gt;1,P32,_xlfn.XLOOKUP(N32,Products!$A$7:$A$66,Products!$B$7:$B$66,"Unmatched",0))</x:f>
        <x:v>Lunch box</x:v>
      </x:c>
      <x:c r="G32" s="4" t="str">
        <x:f>IF(O32&lt;&gt;1,P32,_xlfn.XLOOKUP(N32,Products!$A$7:$A$66,Products!$C$7:$C$66,"Unmatched",0))</x:f>
        <x:v>Kitchen</x:v>
      </x:c>
      <x:c r="H32" s="10" t="n">
        <x:v>2</x:v>
      </x:c>
      <x:c r="I32" s="11" t="n">
        <x:v>216</x:v>
      </x:c>
      <x:c r="J32" s="11" t="n">
        <x:v>21.6</x:v>
      </x:c>
      <x:c r="K32" s="11" t="n">
        <x:v>129.6</x:v>
      </x:c>
      <x:c r="L32" s="11" t="n">
        <x:v>432</x:v>
      </x:c>
      <x:c r="M32" s="11" t="n">
        <x:v>410.4</x:v>
      </x:c>
      <x:c r="N32" s="4" t="str">
        <x:f>IF(ISNUMBER(E32),"P"&amp;TEXT(E32,"000"),TRIM(E32))</x:f>
        <x:v>P002</x:v>
      </x:c>
      <x:c r="O32" s="4" t="n">
        <x:f>COUNTIFS(Products!$A$7:$A$66,N32)</x:f>
        <x:v>1</x:v>
      </x:c>
      <x:c r="P32" s="4" t="str">
        <x:f>IF(O32=0,"Unmatched",IF(O32&gt;1,"Ambiguous","Matched"))</x:f>
        <x:v>Matched</x:v>
      </x:c>
      <x:c r="Q32" s="4" t="str">
        <x:f>IF(O32&lt;&gt;1,P32,INDEX(Products!$C$7:$C$66,MATCH(N32,Products!$A$7:$A$66,0)))</x:f>
        <x:v>Kitchen</x:v>
      </x:c>
      <x:c r="R32" s="1"/>
      <x:c r="S32" s="1"/>
      <x:c r="T32" s="1"/>
    </x:row>
    <x:row r="33" ht="22" customHeight="1">
      <x:c r="A33" s="4" t="str">
        <x:v>L2025-003929</x:v>
      </x:c>
      <x:c r="B33" s="4" t="str">
        <x:v>O2025-01572</x:v>
      </x:c>
      <x:c r="C33" s="9" t="n">
        <x:v>45705</x:v>
      </x:c>
      <x:c r="D33" s="4" t="str">
        <x:v>WEB</x:v>
      </x:c>
      <x:c r="E33" s="4" t="str">
        <x:v>P030</x:v>
      </x:c>
      <x:c r="F33" s="4" t="str">
        <x:f>IF(O33&lt;&gt;1,P33,_xlfn.XLOOKUP(N33,Products!$A$7:$A$66,Products!$B$7:$B$66,"Unmatched",0))</x:f>
        <x:v>Folder</x:v>
      </x:c>
      <x:c r="G33" s="4" t="str">
        <x:f>IF(O33&lt;&gt;1,P33,_xlfn.XLOOKUP(N33,Products!$A$7:$A$66,Products!$C$7:$C$66,"Unmatched",0))</x:f>
        <x:v>Stationery</x:v>
      </x:c>
      <x:c r="H33" s="10" t="n">
        <x:v>5</x:v>
      </x:c>
      <x:c r="I33" s="11" t="n">
        <x:v>100</x:v>
      </x:c>
      <x:c r="J33" s="11" t="n">
        <x:v>0</x:v>
      </x:c>
      <x:c r="K33" s="11" t="n">
        <x:v>52</x:v>
      </x:c>
      <x:c r="L33" s="11" t="n">
        <x:v>500</x:v>
      </x:c>
      <x:c r="M33" s="11" t="n">
        <x:v>500</x:v>
      </x:c>
      <x:c r="N33" s="4" t="str">
        <x:f>IF(ISNUMBER(E33),"P"&amp;TEXT(E33,"000"),TRIM(E33))</x:f>
        <x:v>P030</x:v>
      </x:c>
      <x:c r="O33" s="4" t="n">
        <x:f>COUNTIFS(Products!$A$7:$A$66,N33)</x:f>
        <x:v>1</x:v>
      </x:c>
      <x:c r="P33" s="4" t="str">
        <x:f>IF(O33=0,"Unmatched",IF(O33&gt;1,"Ambiguous","Matched"))</x:f>
        <x:v>Matched</x:v>
      </x:c>
      <x:c r="Q33" s="4" t="str">
        <x:f>IF(O33&lt;&gt;1,P33,INDEX(Products!$C$7:$C$66,MATCH(N33,Products!$A$7:$A$66,0)))</x:f>
        <x:v>Stationery</x:v>
      </x:c>
      <x:c r="R33" s="1"/>
      <x:c r="S33" s="1"/>
      <x:c r="T33" s="1"/>
    </x:row>
    <x:row r="34" ht="22" customHeight="1">
      <x:c r="A34" s="4" t="str">
        <x:v>L2025-003930</x:v>
      </x:c>
      <x:c r="B34" s="4" t="str">
        <x:v>O2025-01572</x:v>
      </x:c>
      <x:c r="C34" s="9" t="n">
        <x:v>45705</x:v>
      </x:c>
      <x:c r="D34" s="4" t="str">
        <x:v>WEB</x:v>
      </x:c>
      <x:c r="E34" s="4" t="str">
        <x:v>P039</x:v>
      </x:c>
      <x:c r="F34" s="4" t="str">
        <x:f>IF(O34&lt;&gt;1,P34,_xlfn.XLOOKUP(N34,Products!$A$7:$A$66,Products!$B$7:$B$66,"Unmatched",0))</x:f>
        <x:v>Hand wash</x:v>
      </x:c>
      <x:c r="G34" s="4" t="str">
        <x:f>IF(O34&lt;&gt;1,P34,_xlfn.XLOOKUP(N34,Products!$A$7:$A$66,Products!$C$7:$C$66,"Unmatched",0))</x:f>
        <x:v>Personal care</x:v>
      </x:c>
      <x:c r="H34" s="10" t="n">
        <x:v>1</x:v>
      </x:c>
      <x:c r="I34" s="11" t="n">
        <x:v>196</x:v>
      </x:c>
      <x:c r="J34" s="11" t="n">
        <x:v>39.2</x:v>
      </x:c>
      <x:c r="K34" s="11" t="n">
        <x:v>125.44</x:v>
      </x:c>
      <x:c r="L34" s="11" t="n">
        <x:v>196</x:v>
      </x:c>
      <x:c r="M34" s="11" t="n">
        <x:v>156.8</x:v>
      </x:c>
      <x:c r="N34" s="4" t="str">
        <x:f>IF(ISNUMBER(E34),"P"&amp;TEXT(E34,"000"),TRIM(E34))</x:f>
        <x:v>P039</x:v>
      </x:c>
      <x:c r="O34" s="4" t="n">
        <x:f>COUNTIFS(Products!$A$7:$A$66,N34)</x:f>
        <x:v>1</x:v>
      </x:c>
      <x:c r="P34" s="4" t="str">
        <x:f>IF(O34=0,"Unmatched",IF(O34&gt;1,"Ambiguous","Matched"))</x:f>
        <x:v>Matched</x:v>
      </x:c>
      <x:c r="Q34" s="4" t="str">
        <x:f>IF(O34&lt;&gt;1,P34,INDEX(Products!$C$7:$C$66,MATCH(N34,Products!$A$7:$A$66,0)))</x:f>
        <x:v>Personal care</x:v>
      </x:c>
      <x:c r="R34" s="1"/>
      <x:c r="S34" s="1"/>
      <x:c r="T34" s="1"/>
    </x:row>
    <x:row r="35" ht="22" customHeight="1">
      <x:c r="A35" s="4" t="str">
        <x:v>L2025-004386</x:v>
      </x:c>
      <x:c r="B35" s="4" t="str">
        <x:v>O2025-01755</x:v>
      </x:c>
      <x:c r="C35" s="9" t="n">
        <x:v>45711</x:v>
      </x:c>
      <x:c r="D35" s="4" t="str">
        <x:v>WEB</x:v>
      </x:c>
      <x:c r="E35" s="4" t="str">
        <x:v>P024</x:v>
      </x:c>
      <x:c r="F35" s="4" t="str">
        <x:f>IF(O35&lt;&gt;1,P35,_xlfn.XLOOKUP(N35,Products!$A$7:$A$66,Products!$B$7:$B$66,"Unmatched",0))</x:f>
        <x:v>Laundry stand</x:v>
      </x:c>
      <x:c r="G35" s="4" t="str">
        <x:f>IF(O35&lt;&gt;1,P35,_xlfn.XLOOKUP(N35,Products!$A$7:$A$66,Products!$C$7:$C$66,"Unmatched",0))</x:f>
        <x:v>Home care</x:v>
      </x:c>
      <x:c r="H35" s="10" t="n">
        <x:v>1</x:v>
      </x:c>
      <x:c r="I35" s="11" t="n">
        <x:v>384</x:v>
      </x:c>
      <x:c r="J35" s="11" t="n">
        <x:v>38.4</x:v>
      </x:c>
      <x:c r="K35" s="11" t="n">
        <x:v>238.08</x:v>
      </x:c>
      <x:c r="L35" s="11" t="n">
        <x:v>384</x:v>
      </x:c>
      <x:c r="M35" s="11" t="n">
        <x:v>345.6</x:v>
      </x:c>
      <x:c r="N35" s="4" t="str">
        <x:f>IF(ISNUMBER(E35),"P"&amp;TEXT(E35,"000"),TRIM(E35))</x:f>
        <x:v>P024</x:v>
      </x:c>
      <x:c r="O35" s="4" t="n">
        <x:f>COUNTIFS(Products!$A$7:$A$66,N35)</x:f>
        <x:v>1</x:v>
      </x:c>
      <x:c r="P35" s="4" t="str">
        <x:f>IF(O35=0,"Unmatched",IF(O35&gt;1,"Ambiguous","Matched"))</x:f>
        <x:v>Matched</x:v>
      </x:c>
      <x:c r="Q35" s="4" t="str">
        <x:f>IF(O35&lt;&gt;1,P35,INDEX(Products!$C$7:$C$66,MATCH(N35,Products!$A$7:$A$66,0)))</x:f>
        <x:v>Home care</x:v>
      </x:c>
      <x:c r="R35" s="1"/>
      <x:c r="S35" s="1"/>
      <x:c r="T35" s="1"/>
    </x:row>
    <x:row r="36" ht="22" customHeight="1">
      <x:c r="A36" s="4" t="str">
        <x:v>L2025-004387</x:v>
      </x:c>
      <x:c r="B36" s="4" t="str">
        <x:v>O2025-01755</x:v>
      </x:c>
      <x:c r="C36" s="9" t="n">
        <x:v>45711</x:v>
      </x:c>
      <x:c r="D36" s="4" t="str">
        <x:v>WEB</x:v>
      </x:c>
      <x:c r="E36" s="4" t="str">
        <x:v>P042</x:v>
      </x:c>
      <x:c r="F36" s="4" t="str">
        <x:f>IF(O36&lt;&gt;1,P36,_xlfn.XLOOKUP(N36,Products!$A$7:$A$66,Products!$B$7:$B$66,"Unmatched",0))</x:f>
        <x:v>Comb</x:v>
      </x:c>
      <x:c r="G36" s="4" t="str">
        <x:f>IF(O36&lt;&gt;1,P36,_xlfn.XLOOKUP(N36,Products!$A$7:$A$66,Products!$C$7:$C$66,"Unmatched",0))</x:f>
        <x:v>Personal care</x:v>
      </x:c>
      <x:c r="H36" s="10" t="n">
        <x:v>2</x:v>
      </x:c>
      <x:c r="I36" s="11" t="n">
        <x:v>280</x:v>
      </x:c>
      <x:c r="J36" s="11" t="n">
        <x:v>84</x:v>
      </x:c>
      <x:c r="K36" s="11" t="n">
        <x:v>179.2</x:v>
      </x:c>
      <x:c r="L36" s="11" t="n">
        <x:v>560</x:v>
      </x:c>
      <x:c r="M36" s="11" t="n">
        <x:v>476</x:v>
      </x:c>
      <x:c r="N36" s="4" t="str">
        <x:f>IF(ISNUMBER(E36),"P"&amp;TEXT(E36,"000"),TRIM(E36))</x:f>
        <x:v>P042</x:v>
      </x:c>
      <x:c r="O36" s="4" t="n">
        <x:f>COUNTIFS(Products!$A$7:$A$66,N36)</x:f>
        <x:v>1</x:v>
      </x:c>
      <x:c r="P36" s="4" t="str">
        <x:f>IF(O36=0,"Unmatched",IF(O36&gt;1,"Ambiguous","Matched"))</x:f>
        <x:v>Matched</x:v>
      </x:c>
      <x:c r="Q36" s="4" t="str">
        <x:f>IF(O36&lt;&gt;1,P36,INDEX(Products!$C$7:$C$66,MATCH(N36,Products!$A$7:$A$66,0)))</x:f>
        <x:v>Personal care</x:v>
      </x:c>
    </x:row>
    <x:row r="37" ht="22" customHeight="1">
      <x:c r="A37" s="4" t="str">
        <x:v>L2025-004848</x:v>
      </x:c>
      <x:c r="B37" s="4" t="str">
        <x:v>O2025-01940</x:v>
      </x:c>
      <x:c r="C37" s="9" t="n">
        <x:v>45716</x:v>
      </x:c>
      <x:c r="D37" s="4" t="str">
        <x:v>S01</x:v>
      </x:c>
      <x:c r="E37" s="4" t="str">
        <x:v>P006</x:v>
      </x:c>
      <x:c r="F37" s="4" t="str">
        <x:f>IF(O37&lt;&gt;1,P37,_xlfn.XLOOKUP(N37,Products!$A$7:$A$66,Products!$B$7:$B$66,"Unmatched",0))</x:f>
        <x:v>Tea strainer</x:v>
      </x:c>
      <x:c r="G37" s="4" t="str">
        <x:f>IF(O37&lt;&gt;1,P37,_xlfn.XLOOKUP(N37,Products!$A$7:$A$66,Products!$C$7:$C$66,"Unmatched",0))</x:f>
        <x:v>Kitchen</x:v>
      </x:c>
      <x:c r="H37" s="10" t="n">
        <x:v>1</x:v>
      </x:c>
      <x:c r="I37" s="11" t="n">
        <x:v>360</x:v>
      </x:c>
      <x:c r="J37" s="11" t="n">
        <x:v>36</x:v>
      </x:c>
      <x:c r="K37" s="11" t="n">
        <x:v>216</x:v>
      </x:c>
      <x:c r="L37" s="11" t="n">
        <x:v>360</x:v>
      </x:c>
      <x:c r="M37" s="11" t="n">
        <x:v>324</x:v>
      </x:c>
      <x:c r="N37" s="4" t="str">
        <x:f>IF(ISNUMBER(E37),"P"&amp;TEXT(E37,"000"),TRIM(E37))</x:f>
        <x:v>P006</x:v>
      </x:c>
      <x:c r="O37" s="4" t="n">
        <x:f>COUNTIFS(Products!$A$7:$A$66,N37)</x:f>
        <x:v>1</x:v>
      </x:c>
      <x:c r="P37" s="4" t="str">
        <x:f>IF(O37=0,"Unmatched",IF(O37&gt;1,"Ambiguous","Matched"))</x:f>
        <x:v>Matched</x:v>
      </x:c>
      <x:c r="Q37" s="4" t="str">
        <x:f>IF(O37&lt;&gt;1,P37,INDEX(Products!$C$7:$C$66,MATCH(N37,Products!$A$7:$A$66,0)))</x:f>
        <x:v>Kitchen</x:v>
      </x:c>
    </x:row>
    <x:row r="38" ht="22" customHeight="1">
      <x:c r="A38" s="4" t="str">
        <x:v>L2025-004849</x:v>
      </x:c>
      <x:c r="B38" s="4" t="str">
        <x:v>O2025-01940</x:v>
      </x:c>
      <x:c r="C38" s="9" t="n">
        <x:v>45716</x:v>
      </x:c>
      <x:c r="D38" s="4" t="str">
        <x:v>S01</x:v>
      </x:c>
      <x:c r="E38" s="4" t="str">
        <x:v>P031</x:v>
      </x:c>
      <x:c r="F38" s="4" t="str">
        <x:f>IF(O38&lt;&gt;1,P38,_xlfn.XLOOKUP(N38,Products!$A$7:$A$66,Products!$B$7:$B$66,"Unmatched",0))</x:f>
        <x:v>Marker pack</x:v>
      </x:c>
      <x:c r="G38" s="4" t="str">
        <x:f>IF(O38&lt;&gt;1,P38,_xlfn.XLOOKUP(N38,Products!$A$7:$A$66,Products!$C$7:$C$66,"Unmatched",0))</x:f>
        <x:v>Stationery</x:v>
      </x:c>
      <x:c r="H38" s="10" t="n">
        <x:v>5</x:v>
      </x:c>
      <x:c r="I38" s="11" t="n">
        <x:v>110</x:v>
      </x:c>
      <x:c r="J38" s="11" t="n">
        <x:v>27.5</x:v>
      </x:c>
      <x:c r="K38" s="11" t="n">
        <x:v>57.2</x:v>
      </x:c>
      <x:c r="L38" s="11" t="n">
        <x:v>550</x:v>
      </x:c>
      <x:c r="M38" s="11" t="n">
        <x:v>522.5</x:v>
      </x:c>
      <x:c r="N38" s="4" t="str">
        <x:f>IF(ISNUMBER(E38),"P"&amp;TEXT(E38,"000"),TRIM(E38))</x:f>
        <x:v>P031</x:v>
      </x:c>
      <x:c r="O38" s="4" t="n">
        <x:f>COUNTIFS(Products!$A$7:$A$66,N38)</x:f>
        <x:v>1</x:v>
      </x:c>
      <x:c r="P38" s="4" t="str">
        <x:f>IF(O38=0,"Unmatched",IF(O38&gt;1,"Ambiguous","Matched"))</x:f>
        <x:v>Matched</x:v>
      </x:c>
      <x:c r="Q38" s="4" t="str">
        <x:f>IF(O38&lt;&gt;1,P38,INDEX(Products!$C$7:$C$66,MATCH(N38,Products!$A$7:$A$66,0)))</x:f>
        <x:v>Stationery</x:v>
      </x:c>
    </x:row>
    <x:row r="39" ht="22" customHeight="1">
      <x:c r="A39" s="4" t="str">
        <x:v>L2025-004850</x:v>
      </x:c>
      <x:c r="B39" s="4" t="str">
        <x:v>O2025-01940</x:v>
      </x:c>
      <x:c r="C39" s="9" t="n">
        <x:v>45716</x:v>
      </x:c>
      <x:c r="D39" s="4" t="str">
        <x:v>S01</x:v>
      </x:c>
      <x:c r="E39" s="4" t="str">
        <x:v>P041</x:v>
      </x:c>
      <x:c r="F39" s="4" t="str">
        <x:f>IF(O39&lt;&gt;1,P39,_xlfn.XLOOKUP(N39,Products!$A$7:$A$66,Products!$B$7:$B$66,"Unmatched",0))</x:f>
        <x:v>Body lotion</x:v>
      </x:c>
      <x:c r="G39" s="4" t="str">
        <x:f>IF(O39&lt;&gt;1,P39,_xlfn.XLOOKUP(N39,Products!$A$7:$A$66,Products!$C$7:$C$66,"Unmatched",0))</x:f>
        <x:v>Personal care</x:v>
      </x:c>
      <x:c r="H39" s="10" t="n">
        <x:v>4</x:v>
      </x:c>
      <x:c r="I39" s="11" t="n">
        <x:v>252</x:v>
      </x:c>
      <x:c r="J39" s="11" t="n">
        <x:v>100.8</x:v>
      </x:c>
      <x:c r="K39" s="11" t="n">
        <x:v>161.28</x:v>
      </x:c>
      <x:c r="L39" s="11" t="n">
        <x:v>1008</x:v>
      </x:c>
      <x:c r="M39" s="11" t="n">
        <x:v>907.2</x:v>
      </x:c>
      <x:c r="N39" s="4" t="str">
        <x:f>IF(ISNUMBER(E39),"P"&amp;TEXT(E39,"000"),TRIM(E39))</x:f>
        <x:v>P041</x:v>
      </x:c>
      <x:c r="O39" s="4" t="n">
        <x:f>COUNTIFS(Products!$A$7:$A$66,N39)</x:f>
        <x:v>1</x:v>
      </x:c>
      <x:c r="P39" s="4" t="str">
        <x:f>IF(O39=0,"Unmatched",IF(O39&gt;1,"Ambiguous","Matched"))</x:f>
        <x:v>Matched</x:v>
      </x:c>
      <x:c r="Q39" s="4" t="str">
        <x:f>IF(O39&lt;&gt;1,P39,INDEX(Products!$C$7:$C$66,MATCH(N39,Products!$A$7:$A$66,0)))</x:f>
        <x:v>Personal care</x:v>
      </x:c>
    </x:row>
    <x:row r="40" ht="22" customHeight="1">
      <x:c r="A40" s="4" t="str">
        <x:v>L2025-004851</x:v>
      </x:c>
      <x:c r="B40" s="4" t="str">
        <x:v>O2025-01941</x:v>
      </x:c>
      <x:c r="C40" s="9" t="n">
        <x:v>45717</x:v>
      </x:c>
      <x:c r="D40" s="4" t="str">
        <x:v>WEB</x:v>
      </x:c>
      <x:c r="E40" s="4" t="str">
        <x:v>P051</x:v>
      </x:c>
      <x:c r="F40" s="4" t="str">
        <x:f>IF(O40&lt;&gt;1,P40,_xlfn.XLOOKUP(N40,Products!$A$7:$A$66,Products!$B$7:$B$66,"Unmatched",0))</x:f>
        <x:v>Keyboard</x:v>
      </x:c>
      <x:c r="G40" s="4" t="str">
        <x:f>IF(O40&lt;&gt;1,P40,_xlfn.XLOOKUP(N40,Products!$A$7:$A$66,Products!$C$7:$C$66,"Unmatched",0))</x:f>
        <x:v>Electronics</x:v>
      </x:c>
      <x:c r="H40" s="10" t="n">
        <x:v>4</x:v>
      </x:c>
      <x:c r="I40" s="11" t="n">
        <x:v>1750</x:v>
      </x:c>
      <x:c r="J40" s="11" t="n">
        <x:v>350</x:v>
      </x:c>
      <x:c r="K40" s="11" t="n">
        <x:v>1470</x:v>
      </x:c>
      <x:c r="L40" s="11" t="n">
        <x:v>7000</x:v>
      </x:c>
      <x:c r="M40" s="11" t="n">
        <x:v>6650</x:v>
      </x:c>
      <x:c r="N40" s="4" t="str">
        <x:f>IF(ISNUMBER(E40),"P"&amp;TEXT(E40,"000"),TRIM(E40))</x:f>
        <x:v>P051</x:v>
      </x:c>
      <x:c r="O40" s="4" t="n">
        <x:f>COUNTIFS(Products!$A$7:$A$66,N40)</x:f>
        <x:v>1</x:v>
      </x:c>
      <x:c r="P40" s="4" t="str">
        <x:f>IF(O40=0,"Unmatched",IF(O40&gt;1,"Ambiguous","Matched"))</x:f>
        <x:v>Matched</x:v>
      </x:c>
      <x:c r="Q40" s="4" t="str">
        <x:f>IF(O40&lt;&gt;1,P40,INDEX(Products!$C$7:$C$66,MATCH(N40,Products!$A$7:$A$66,0)))</x:f>
        <x:v>Electronics</x:v>
      </x:c>
    </x:row>
    <x:row r="41" ht="22" customHeight="1">
      <x:c r="A41" s="4" t="str">
        <x:v>L2025-004852</x:v>
      </x:c>
      <x:c r="B41" s="4" t="str">
        <x:v>O2025-01941</x:v>
      </x:c>
      <x:c r="C41" s="9" t="n">
        <x:v>45717</x:v>
      </x:c>
      <x:c r="D41" s="4" t="str">
        <x:v>WEB</x:v>
      </x:c>
      <x:c r="E41" s="4" t="str">
        <x:v>P014</x:v>
      </x:c>
      <x:c r="F41" s="4" t="str">
        <x:f>IF(O41&lt;&gt;1,P41,_xlfn.XLOOKUP(N41,Products!$A$7:$A$66,Products!$B$7:$B$66,"Unmatched",0))</x:f>
        <x:v>Scrub pad</x:v>
      </x:c>
      <x:c r="G41" s="4" t="str">
        <x:f>IF(O41&lt;&gt;1,P41,_xlfn.XLOOKUP(N41,Products!$A$7:$A$66,Products!$C$7:$C$66,"Unmatched",0))</x:f>
        <x:v>Home care</x:v>
      </x:c>
      <x:c r="H41" s="10" t="n">
        <x:v>3</x:v>
      </x:c>
      <x:c r="I41" s="11" t="n">
        <x:v>144</x:v>
      </x:c>
      <x:c r="J41" s="11" t="n">
        <x:v>21.6</x:v>
      </x:c>
      <x:c r="K41" s="11" t="n">
        <x:v>89.28</x:v>
      </x:c>
      <x:c r="L41" s="11" t="n">
        <x:v>432</x:v>
      </x:c>
      <x:c r="M41" s="11" t="n">
        <x:v>410.4</x:v>
      </x:c>
      <x:c r="N41" s="4" t="str">
        <x:f>IF(ISNUMBER(E41),"P"&amp;TEXT(E41,"000"),TRIM(E41))</x:f>
        <x:v>P014</x:v>
      </x:c>
      <x:c r="O41" s="4" t="n">
        <x:f>COUNTIFS(Products!$A$7:$A$66,N41)</x:f>
        <x:v>1</x:v>
      </x:c>
      <x:c r="P41" s="4" t="str">
        <x:f>IF(O41=0,"Unmatched",IF(O41&gt;1,"Ambiguous","Matched"))</x:f>
        <x:v>Matched</x:v>
      </x:c>
      <x:c r="Q41" s="4" t="str">
        <x:f>IF(O41&lt;&gt;1,P41,INDEX(Products!$C$7:$C$66,MATCH(N41,Products!$A$7:$A$66,0)))</x:f>
        <x:v>Home care</x:v>
      </x:c>
    </x:row>
    <x:row r="42" ht="22" customHeight="1">
      <x:c r="A42" s="4" t="str">
        <x:v>L2025-005358</x:v>
      </x:c>
      <x:c r="B42" s="4" t="str">
        <x:v>O2025-02144</x:v>
      </x:c>
      <x:c r="C42" s="9" t="n">
        <x:v>45723</x:v>
      </x:c>
      <x:c r="D42" s="4" t="str">
        <x:v>WEB</x:v>
      </x:c>
      <x:c r="E42" s="4" t="str">
        <x:v>P053</x:v>
      </x:c>
      <x:c r="F42" s="4" t="str">
        <x:f>IF(O42&lt;&gt;1,P42,_xlfn.XLOOKUP(N42,Products!$A$7:$A$66,Products!$B$7:$B$66,"Unmatched",0))</x:f>
        <x:v>Desk light</x:v>
      </x:c>
      <x:c r="G42" s="4" t="str">
        <x:f>IF(O42&lt;&gt;1,P42,_xlfn.XLOOKUP(N42,Products!$A$7:$A$66,Products!$C$7:$C$66,"Unmatched",0))</x:f>
        <x:v>Electronics</x:v>
      </x:c>
      <x:c r="H42" s="10" t="n">
        <x:v>2</x:v>
      </x:c>
      <x:c r="I42" s="11" t="n">
        <x:v>2250</x:v>
      </x:c>
      <x:c r="J42" s="11" t="n">
        <x:v>900</x:v>
      </x:c>
      <x:c r="K42" s="11" t="n">
        <x:v>1890</x:v>
      </x:c>
      <x:c r="L42" s="11" t="n">
        <x:v>4500</x:v>
      </x:c>
      <x:c r="M42" s="11" t="n">
        <x:v>3600</x:v>
      </x:c>
      <x:c r="N42" s="4" t="str">
        <x:f>IF(ISNUMBER(E42),"P"&amp;TEXT(E42,"000"),TRIM(E42))</x:f>
        <x:v>P053</x:v>
      </x:c>
      <x:c r="O42" s="4" t="n">
        <x:f>COUNTIFS(Products!$A$7:$A$66,N42)</x:f>
        <x:v>1</x:v>
      </x:c>
      <x:c r="P42" s="4" t="str">
        <x:f>IF(O42=0,"Unmatched",IF(O42&gt;1,"Ambiguous","Matched"))</x:f>
        <x:v>Matched</x:v>
      </x:c>
      <x:c r="Q42" s="4" t="str">
        <x:f>IF(O42&lt;&gt;1,P42,INDEX(Products!$C$7:$C$66,MATCH(N42,Products!$A$7:$A$66,0)))</x:f>
        <x:v>Electronics</x:v>
      </x:c>
    </x:row>
    <x:row r="43" ht="22" customHeight="1">
      <x:c r="A43" s="4" t="str">
        <x:v>L2025-005359</x:v>
      </x:c>
      <x:c r="B43" s="4" t="str">
        <x:v>O2025-02144</x:v>
      </x:c>
      <x:c r="C43" s="9" t="n">
        <x:v>45723</x:v>
      </x:c>
      <x:c r="D43" s="4" t="str">
        <x:v>WEB</x:v>
      </x:c>
      <x:c r="E43" s="4" t="str">
        <x:v>P040</x:v>
      </x:c>
      <x:c r="F43" s="4" t="str">
        <x:f>IF(O43&lt;&gt;1,P43,_xlfn.XLOOKUP(N43,Products!$A$7:$A$66,Products!$B$7:$B$66,"Unmatched",0))</x:f>
        <x:v>Toothbrush pack</x:v>
      </x:c>
      <x:c r="G43" s="4" t="str">
        <x:f>IF(O43&lt;&gt;1,P43,_xlfn.XLOOKUP(N43,Products!$A$7:$A$66,Products!$C$7:$C$66,"Unmatched",0))</x:f>
        <x:v>Personal care</x:v>
      </x:c>
      <x:c r="H43" s="10" t="n">
        <x:v>2</x:v>
      </x:c>
      <x:c r="I43" s="11" t="n">
        <x:v>224</x:v>
      </x:c>
      <x:c r="J43" s="11" t="n">
        <x:v>0</x:v>
      </x:c>
      <x:c r="K43" s="11" t="n">
        <x:v>143.36</x:v>
      </x:c>
      <x:c r="L43" s="11" t="n">
        <x:v>448</x:v>
      </x:c>
      <x:c r="M43" s="11" t="n">
        <x:v>448</x:v>
      </x:c>
      <x:c r="N43" s="4" t="str">
        <x:f>IF(ISNUMBER(E43),"P"&amp;TEXT(E43,"000"),TRIM(E43))</x:f>
        <x:v>P040</x:v>
      </x:c>
      <x:c r="O43" s="4" t="n">
        <x:f>COUNTIFS(Products!$A$7:$A$66,N43)</x:f>
        <x:v>1</x:v>
      </x:c>
      <x:c r="P43" s="4" t="str">
        <x:f>IF(O43=0,"Unmatched",IF(O43&gt;1,"Ambiguous","Matched"))</x:f>
        <x:v>Matched</x:v>
      </x:c>
      <x:c r="Q43" s="4" t="str">
        <x:f>IF(O43&lt;&gt;1,P43,INDEX(Products!$C$7:$C$66,MATCH(N43,Products!$A$7:$A$66,0)))</x:f>
        <x:v>Personal care</x:v>
      </x:c>
    </x:row>
    <x:row r="44" ht="22" customHeight="1">
      <x:c r="A44" s="4" t="str">
        <x:v>L2025-005360</x:v>
      </x:c>
      <x:c r="B44" s="4" t="str">
        <x:v>O2025-02144</x:v>
      </x:c>
      <x:c r="C44" s="9" t="n">
        <x:v>45723</x:v>
      </x:c>
      <x:c r="D44" s="4" t="str">
        <x:v>WEB</x:v>
      </x:c>
      <x:c r="E44" s="4" t="str">
        <x:v>P007</x:v>
      </x:c>
      <x:c r="F44" s="4" t="str">
        <x:f>IF(O44&lt;&gt;1,P44,_xlfn.XLOOKUP(N44,Products!$A$7:$A$66,Products!$B$7:$B$66,"Unmatched",0))</x:f>
        <x:v>Measuring cup</x:v>
      </x:c>
      <x:c r="G44" s="4" t="str">
        <x:f>IF(O44&lt;&gt;1,P44,_xlfn.XLOOKUP(N44,Products!$A$7:$A$66,Products!$C$7:$C$66,"Unmatched",0))</x:f>
        <x:v>Kitchen</x:v>
      </x:c>
      <x:c r="H44" s="10" t="n">
        <x:v>1</x:v>
      </x:c>
      <x:c r="I44" s="11" t="n">
        <x:v>396</x:v>
      </x:c>
      <x:c r="J44" s="11" t="n">
        <x:v>39.6</x:v>
      </x:c>
      <x:c r="K44" s="11" t="n">
        <x:v>237.6</x:v>
      </x:c>
      <x:c r="L44" s="11" t="n">
        <x:v>396</x:v>
      </x:c>
      <x:c r="M44" s="11" t="n">
        <x:v>356.4</x:v>
      </x:c>
      <x:c r="N44" s="4" t="str">
        <x:f>IF(ISNUMBER(E44),"P"&amp;TEXT(E44,"000"),TRIM(E44))</x:f>
        <x:v>P007</x:v>
      </x:c>
      <x:c r="O44" s="4" t="n">
        <x:f>COUNTIFS(Products!$A$7:$A$66,N44)</x:f>
        <x:v>1</x:v>
      </x:c>
      <x:c r="P44" s="4" t="str">
        <x:f>IF(O44=0,"Unmatched",IF(O44&gt;1,"Ambiguous","Matched"))</x:f>
        <x:v>Matched</x:v>
      </x:c>
      <x:c r="Q44" s="4" t="str">
        <x:f>IF(O44&lt;&gt;1,P44,INDEX(Products!$C$7:$C$66,MATCH(N44,Products!$A$7:$A$66,0)))</x:f>
        <x:v>Kitchen</x:v>
      </x:c>
    </x:row>
    <x:row r="45" ht="22" customHeight="1">
      <x:c r="A45" s="4" t="str">
        <x:v>L2025-005868</x:v>
      </x:c>
      <x:c r="B45" s="4" t="str">
        <x:v>O2025-02348</x:v>
      </x:c>
      <x:c r="C45" s="9" t="n">
        <x:v>45729</x:v>
      </x:c>
      <x:c r="D45" s="4" t="str">
        <x:v>WEB</x:v>
      </x:c>
      <x:c r="E45" s="4" t="str">
        <x:v>P044</x:v>
      </x:c>
      <x:c r="F45" s="4" t="str">
        <x:f>IF(O45&lt;&gt;1,P45,_xlfn.XLOOKUP(N45,Products!$A$7:$A$66,Products!$B$7:$B$66,"Unmatched",0))</x:f>
        <x:v>Travel pouch</x:v>
      </x:c>
      <x:c r="G45" s="4" t="str">
        <x:f>IF(O45&lt;&gt;1,P45,_xlfn.XLOOKUP(N45,Products!$A$7:$A$66,Products!$C$7:$C$66,"Unmatched",0))</x:f>
        <x:v>Personal care</x:v>
      </x:c>
      <x:c r="H45" s="10" t="n">
        <x:v>4</x:v>
      </x:c>
      <x:c r="I45" s="11" t="n">
        <x:v>336</x:v>
      </x:c>
      <x:c r="J45" s="11" t="n">
        <x:v>134.4</x:v>
      </x:c>
      <x:c r="K45" s="11" t="n">
        <x:v>215.04</x:v>
      </x:c>
      <x:c r="L45" s="11" t="n">
        <x:v>1344</x:v>
      </x:c>
      <x:c r="M45" s="11" t="n">
        <x:v>1209.6</x:v>
      </x:c>
      <x:c r="N45" s="4" t="str">
        <x:f>IF(ISNUMBER(E45),"P"&amp;TEXT(E45,"000"),TRIM(E45))</x:f>
        <x:v>P044</x:v>
      </x:c>
      <x:c r="O45" s="4" t="n">
        <x:f>COUNTIFS(Products!$A$7:$A$66,N45)</x:f>
        <x:v>1</x:v>
      </x:c>
      <x:c r="P45" s="4" t="str">
        <x:f>IF(O45=0,"Unmatched",IF(O45&gt;1,"Ambiguous","Matched"))</x:f>
        <x:v>Matched</x:v>
      </x:c>
      <x:c r="Q45" s="4" t="str">
        <x:f>IF(O45&lt;&gt;1,P45,INDEX(Products!$C$7:$C$66,MATCH(N45,Products!$A$7:$A$66,0)))</x:f>
        <x:v>Personal care</x:v>
      </x:c>
    </x:row>
    <x:row r="46" ht="22" customHeight="1">
      <x:c r="A46" s="4" t="str">
        <x:v>L2025-005869</x:v>
      </x:c>
      <x:c r="B46" s="4" t="str">
        <x:v>O2025-02348</x:v>
      </x:c>
      <x:c r="C46" s="9" t="n">
        <x:v>45729</x:v>
      </x:c>
      <x:c r="D46" s="4" t="str">
        <x:v>WEB</x:v>
      </x:c>
      <x:c r="E46" s="4" t="str">
        <x:v>P020</x:v>
      </x:c>
      <x:c r="F46" s="4" t="str">
        <x:f>IF(O46&lt;&gt;1,P46,_xlfn.XLOOKUP(N46,Products!$A$7:$A$66,Products!$B$7:$B$66,"Unmatched",0))</x:f>
        <x:v>Waste bin</x:v>
      </x:c>
      <x:c r="G46" s="4" t="str">
        <x:f>IF(O46&lt;&gt;1,P46,_xlfn.XLOOKUP(N46,Products!$A$7:$A$66,Products!$C$7:$C$66,"Unmatched",0))</x:f>
        <x:v>Home care</x:v>
      </x:c>
      <x:c r="H46" s="10" t="n">
        <x:v>4</x:v>
      </x:c>
      <x:c r="I46" s="11" t="n">
        <x:v>288</x:v>
      </x:c>
      <x:c r="J46" s="11" t="n">
        <x:v>0</x:v>
      </x:c>
      <x:c r="K46" s="11" t="n">
        <x:v>178.56</x:v>
      </x:c>
      <x:c r="L46" s="11" t="n">
        <x:v>1152</x:v>
      </x:c>
      <x:c r="M46" s="11" t="n">
        <x:v>1152</x:v>
      </x:c>
      <x:c r="N46" s="4" t="str">
        <x:f>IF(ISNUMBER(E46),"P"&amp;TEXT(E46,"000"),TRIM(E46))</x:f>
        <x:v>P020</x:v>
      </x:c>
      <x:c r="O46" s="4" t="n">
        <x:f>COUNTIFS(Products!$A$7:$A$66,N46)</x:f>
        <x:v>1</x:v>
      </x:c>
      <x:c r="P46" s="4" t="str">
        <x:f>IF(O46=0,"Unmatched",IF(O46&gt;1,"Ambiguous","Matched"))</x:f>
        <x:v>Matched</x:v>
      </x:c>
      <x:c r="Q46" s="4" t="str">
        <x:f>IF(O46&lt;&gt;1,P46,INDEX(Products!$C$7:$C$66,MATCH(N46,Products!$A$7:$A$66,0)))</x:f>
        <x:v>Home care</x:v>
      </x:c>
    </x:row>
    <x:row r="47" ht="22" customHeight="1">
      <x:c r="A47" s="4" t="str">
        <x:v>L2025-005870</x:v>
      </x:c>
      <x:c r="B47" s="4" t="str">
        <x:v>O2025-02348</x:v>
      </x:c>
      <x:c r="C47" s="9" t="n">
        <x:v>45729</x:v>
      </x:c>
      <x:c r="D47" s="4" t="str">
        <x:v>WEB</x:v>
      </x:c>
      <x:c r="E47" s="4" t="str">
        <x:v>P043</x:v>
      </x:c>
      <x:c r="F47" s="4" t="str">
        <x:f>IF(O47&lt;&gt;1,P47,_xlfn.XLOOKUP(N47,Products!$A$7:$A$66,Products!$B$7:$B$66,"Unmatched",0))</x:f>
        <x:v>Face towel</x:v>
      </x:c>
      <x:c r="G47" s="4" t="str">
        <x:f>IF(O47&lt;&gt;1,P47,_xlfn.XLOOKUP(N47,Products!$A$7:$A$66,Products!$C$7:$C$66,"Unmatched",0))</x:f>
        <x:v>Personal care</x:v>
      </x:c>
      <x:c r="H47" s="10" t="n">
        <x:v>4</x:v>
      </x:c>
      <x:c r="I47" s="11" t="n">
        <x:v>308</x:v>
      </x:c>
      <x:c r="J47" s="11" t="n">
        <x:v>184.8</x:v>
      </x:c>
      <x:c r="K47" s="11" t="n">
        <x:v>197.12</x:v>
      </x:c>
      <x:c r="L47" s="11" t="n">
        <x:v>1232</x:v>
      </x:c>
      <x:c r="M47" s="11" t="n">
        <x:v>1047.2</x:v>
      </x:c>
      <x:c r="N47" s="4" t="str">
        <x:f>IF(ISNUMBER(E47),"P"&amp;TEXT(E47,"000"),TRIM(E47))</x:f>
        <x:v>P043</x:v>
      </x:c>
      <x:c r="O47" s="4" t="n">
        <x:f>COUNTIFS(Products!$A$7:$A$66,N47)</x:f>
        <x:v>1</x:v>
      </x:c>
      <x:c r="P47" s="4" t="str">
        <x:f>IF(O47=0,"Unmatched",IF(O47&gt;1,"Ambiguous","Matched"))</x:f>
        <x:v>Matched</x:v>
      </x:c>
      <x:c r="Q47" s="4" t="str">
        <x:f>IF(O47&lt;&gt;1,P47,INDEX(Products!$C$7:$C$66,MATCH(N47,Products!$A$7:$A$66,0)))</x:f>
        <x:v>Personal care</x:v>
      </x:c>
    </x:row>
    <x:row r="48" ht="22" customHeight="1">
      <x:c r="A48" s="4" t="str">
        <x:v>L2025-006376</x:v>
      </x:c>
      <x:c r="B48" s="4" t="str">
        <x:v>O2025-02551</x:v>
      </x:c>
      <x:c r="C48" s="9" t="n">
        <x:v>45735</x:v>
      </x:c>
      <x:c r="D48" s="4" t="str">
        <x:v>WEB</x:v>
      </x:c>
      <x:c r="E48" s="4" t="str">
        <x:v>P055</x:v>
      </x:c>
      <x:c r="F48" s="4" t="str">
        <x:f>IF(O48&lt;&gt;1,P48,_xlfn.XLOOKUP(N48,Products!$A$7:$A$66,Products!$B$7:$B$66,"Unmatched",0))</x:f>
        <x:v>Power bank</x:v>
      </x:c>
      <x:c r="G48" s="4" t="str">
        <x:f>IF(O48&lt;&gt;1,P48,_xlfn.XLOOKUP(N48,Products!$A$7:$A$66,Products!$C$7:$C$66,"Unmatched",0))</x:f>
        <x:v>Electronics</x:v>
      </x:c>
      <x:c r="H48" s="10" t="n">
        <x:v>1</x:v>
      </x:c>
      <x:c r="I48" s="11" t="n">
        <x:v>2750</x:v>
      </x:c>
      <x:c r="J48" s="11" t="n">
        <x:v>412.5</x:v>
      </x:c>
      <x:c r="K48" s="11" t="n">
        <x:v>2310</x:v>
      </x:c>
      <x:c r="L48" s="11" t="n">
        <x:v>2750</x:v>
      </x:c>
      <x:c r="M48" s="11" t="n">
        <x:v>2337.5</x:v>
      </x:c>
      <x:c r="N48" s="4" t="str">
        <x:f>IF(ISNUMBER(E48),"P"&amp;TEXT(E48,"000"),TRIM(E48))</x:f>
        <x:v>P055</x:v>
      </x:c>
      <x:c r="O48" s="4" t="n">
        <x:f>COUNTIFS(Products!$A$7:$A$66,N48)</x:f>
        <x:v>1</x:v>
      </x:c>
      <x:c r="P48" s="4" t="str">
        <x:f>IF(O48=0,"Unmatched",IF(O48&gt;1,"Ambiguous","Matched"))</x:f>
        <x:v>Matched</x:v>
      </x:c>
      <x:c r="Q48" s="4" t="str">
        <x:f>IF(O48&lt;&gt;1,P48,INDEX(Products!$C$7:$C$66,MATCH(N48,Products!$A$7:$A$66,0)))</x:f>
        <x:v>Electronics</x:v>
      </x:c>
    </x:row>
    <x:row r="49" ht="22" customHeight="1">
      <x:c r="A49" s="4" t="str">
        <x:v>L2025-006377</x:v>
      </x:c>
      <x:c r="B49" s="4" t="str">
        <x:v>O2025-02551</x:v>
      </x:c>
      <x:c r="C49" s="9" t="n">
        <x:v>45735</x:v>
      </x:c>
      <x:c r="D49" s="4" t="str">
        <x:v>WEB</x:v>
      </x:c>
      <x:c r="E49" s="4" t="str">
        <x:v>P046</x:v>
      </x:c>
      <x:c r="F49" s="4" t="str">
        <x:f>IF(O49&lt;&gt;1,P49,_xlfn.XLOOKUP(N49,Products!$A$7:$A$66,Products!$B$7:$B$66,"Unmatched",0))</x:f>
        <x:v>Sunscreen</x:v>
      </x:c>
      <x:c r="G49" s="4" t="str">
        <x:f>IF(O49&lt;&gt;1,P49,_xlfn.XLOOKUP(N49,Products!$A$7:$A$66,Products!$C$7:$C$66,"Unmatched",0))</x:f>
        <x:v>Personal care</x:v>
      </x:c>
      <x:c r="H49" s="10" t="n">
        <x:v>3</x:v>
      </x:c>
      <x:c r="I49" s="11" t="n">
        <x:v>392</x:v>
      </x:c>
      <x:c r="J49" s="11" t="n">
        <x:v>235.2</x:v>
      </x:c>
      <x:c r="K49" s="11" t="n">
        <x:v>250.88</x:v>
      </x:c>
      <x:c r="L49" s="11" t="n">
        <x:v>1176</x:v>
      </x:c>
      <x:c r="M49" s="11" t="n">
        <x:v>940.8</x:v>
      </x:c>
      <x:c r="N49" s="4" t="str">
        <x:f>IF(ISNUMBER(E49),"P"&amp;TEXT(E49,"000"),TRIM(E49))</x:f>
        <x:v>P046</x:v>
      </x:c>
      <x:c r="O49" s="4" t="n">
        <x:f>COUNTIFS(Products!$A$7:$A$66,N49)</x:f>
        <x:v>1</x:v>
      </x:c>
      <x:c r="P49" s="4" t="str">
        <x:f>IF(O49=0,"Unmatched",IF(O49&gt;1,"Ambiguous","Matched"))</x:f>
        <x:v>Matched</x:v>
      </x:c>
      <x:c r="Q49" s="4" t="str">
        <x:f>IF(O49&lt;&gt;1,P49,INDEX(Products!$C$7:$C$66,MATCH(N49,Products!$A$7:$A$66,0)))</x:f>
        <x:v>Personal care</x:v>
      </x:c>
    </x:row>
    <x:row r="50" ht="22" customHeight="1">
      <x:c r="A50" s="4" t="str">
        <x:v>L2025-006886</x:v>
      </x:c>
      <x:c r="B50" s="4" t="str">
        <x:v>O2025-02755</x:v>
      </x:c>
      <x:c r="C50" s="9" t="n">
        <x:v>45741</x:v>
      </x:c>
      <x:c r="D50" s="4" t="str">
        <x:v>S06</x:v>
      </x:c>
      <x:c r="E50" s="4" t="str">
        <x:v>P005</x:v>
      </x:c>
      <x:c r="F50" s="4" t="str">
        <x:f>IF(O50&lt;&gt;1,P50,_xlfn.XLOOKUP(N50,Products!$A$7:$A$66,Products!$B$7:$B$66,"Unmatched",0))</x:f>
        <x:v>Water bottle</x:v>
      </x:c>
      <x:c r="G50" s="4" t="str">
        <x:f>IF(O50&lt;&gt;1,P50,_xlfn.XLOOKUP(N50,Products!$A$7:$A$66,Products!$C$7:$C$66,"Unmatched",0))</x:f>
        <x:v>Kitchen</x:v>
      </x:c>
      <x:c r="H50" s="10" t="n">
        <x:v>5</x:v>
      </x:c>
      <x:c r="I50" s="11" t="n">
        <x:v>324</x:v>
      </x:c>
      <x:c r="J50" s="11" t="n">
        <x:v>81</x:v>
      </x:c>
      <x:c r="K50" s="11" t="n">
        <x:v>194.4</x:v>
      </x:c>
      <x:c r="L50" s="11" t="n">
        <x:v>1620</x:v>
      </x:c>
      <x:c r="M50" s="11" t="n">
        <x:v>1539</x:v>
      </x:c>
      <x:c r="N50" s="4" t="str">
        <x:f>IF(ISNUMBER(E50),"P"&amp;TEXT(E50,"000"),TRIM(E50))</x:f>
        <x:v>P005</x:v>
      </x:c>
      <x:c r="O50" s="4" t="n">
        <x:f>COUNTIFS(Products!$A$7:$A$66,N50)</x:f>
        <x:v>1</x:v>
      </x:c>
      <x:c r="P50" s="4" t="str">
        <x:f>IF(O50=0,"Unmatched",IF(O50&gt;1,"Ambiguous","Matched"))</x:f>
        <x:v>Matched</x:v>
      </x:c>
      <x:c r="Q50" s="4" t="str">
        <x:f>IF(O50&lt;&gt;1,P50,INDEX(Products!$C$7:$C$66,MATCH(N50,Products!$A$7:$A$66,0)))</x:f>
        <x:v>Kitchen</x:v>
      </x:c>
    </x:row>
    <x:row r="51" ht="22" customHeight="1">
      <x:c r="A51" s="4" t="str">
        <x:v>L2025-006887</x:v>
      </x:c>
      <x:c r="B51" s="4" t="str">
        <x:v>O2025-02755</x:v>
      </x:c>
      <x:c r="C51" s="9" t="n">
        <x:v>45741</x:v>
      </x:c>
      <x:c r="D51" s="4" t="str">
        <x:v>S06</x:v>
      </x:c>
      <x:c r="E51" s="4" t="str">
        <x:v>P022</x:v>
      </x:c>
      <x:c r="F51" s="4" t="str">
        <x:f>IF(O51&lt;&gt;1,P51,_xlfn.XLOOKUP(N51,Products!$A$7:$A$66,Products!$B$7:$B$66,"Unmatched",0))</x:f>
        <x:v>Shoe rack</x:v>
      </x:c>
      <x:c r="G51" s="4" t="str">
        <x:f>IF(O51&lt;&gt;1,P51,_xlfn.XLOOKUP(N51,Products!$A$7:$A$66,Products!$C$7:$C$66,"Unmatched",0))</x:f>
        <x:v>Home care</x:v>
      </x:c>
      <x:c r="H51" s="10" t="n">
        <x:v>1</x:v>
      </x:c>
      <x:c r="I51" s="11" t="n">
        <x:v>336</x:v>
      </x:c>
      <x:c r="J51" s="11" t="n">
        <x:v>16.8</x:v>
      </x:c>
      <x:c r="K51" s="11" t="n">
        <x:v>208.32</x:v>
      </x:c>
      <x:c r="L51" s="11" t="n">
        <x:v>336</x:v>
      </x:c>
      <x:c r="M51" s="11" t="n">
        <x:v>319.2</x:v>
      </x:c>
      <x:c r="N51" s="4" t="str">
        <x:f>IF(ISNUMBER(E51),"P"&amp;TEXT(E51,"000"),TRIM(E51))</x:f>
        <x:v>P022</x:v>
      </x:c>
      <x:c r="O51" s="4" t="n">
        <x:f>COUNTIFS(Products!$A$7:$A$66,N51)</x:f>
        <x:v>1</x:v>
      </x:c>
      <x:c r="P51" s="4" t="str">
        <x:f>IF(O51=0,"Unmatched",IF(O51&gt;1,"Ambiguous","Matched"))</x:f>
        <x:v>Matched</x:v>
      </x:c>
      <x:c r="Q51" s="4" t="str">
        <x:f>IF(O51&lt;&gt;1,P51,INDEX(Products!$C$7:$C$66,MATCH(N51,Products!$A$7:$A$66,0)))</x:f>
        <x:v>Home care</x:v>
      </x:c>
    </x:row>
    <x:row r="52" ht="22" customHeight="1">
      <x:c r="A52" s="4" t="str">
        <x:v>L2025-007396</x:v>
      </x:c>
      <x:c r="B52" s="4" t="str">
        <x:v>O2025-02959</x:v>
      </x:c>
      <x:c r="C52" s="9" t="n">
        <x:v>45747</x:v>
      </x:c>
      <x:c r="D52" s="4" t="str">
        <x:v>S01</x:v>
      </x:c>
      <x:c r="E52" s="4" t="str">
        <x:v>P028</x:v>
      </x:c>
      <x:c r="F52" s="4" t="str">
        <x:f>IF(O52&lt;&gt;1,P52,_xlfn.XLOOKUP(N52,Products!$A$7:$A$66,Products!$B$7:$B$66,"Unmatched",0))</x:f>
        <x:v>Eraser pack</x:v>
      </x:c>
      <x:c r="G52" s="4" t="str">
        <x:f>IF(O52&lt;&gt;1,P52,_xlfn.XLOOKUP(N52,Products!$A$7:$A$66,Products!$C$7:$C$66,"Unmatched",0))</x:f>
        <x:v>Stationery</x:v>
      </x:c>
      <x:c r="H52" s="10" t="n">
        <x:v>3</x:v>
      </x:c>
      <x:c r="I52" s="11" t="n">
        <x:v>80</x:v>
      </x:c>
      <x:c r="J52" s="11" t="n">
        <x:v>24</x:v>
      </x:c>
      <x:c r="K52" s="11" t="n">
        <x:v>41.6</x:v>
      </x:c>
      <x:c r="L52" s="11" t="n">
        <x:v>240</x:v>
      </x:c>
      <x:c r="M52" s="11" t="n">
        <x:v>216</x:v>
      </x:c>
      <x:c r="N52" s="4" t="str">
        <x:f>IF(ISNUMBER(E52),"P"&amp;TEXT(E52,"000"),TRIM(E52))</x:f>
        <x:v>P028</x:v>
      </x:c>
      <x:c r="O52" s="4" t="n">
        <x:f>COUNTIFS(Products!$A$7:$A$66,N52)</x:f>
        <x:v>1</x:v>
      </x:c>
      <x:c r="P52" s="4" t="str">
        <x:f>IF(O52=0,"Unmatched",IF(O52&gt;1,"Ambiguous","Matched"))</x:f>
        <x:v>Matched</x:v>
      </x:c>
      <x:c r="Q52" s="4" t="str">
        <x:f>IF(O52&lt;&gt;1,P52,INDEX(Products!$C$7:$C$66,MATCH(N52,Products!$A$7:$A$66,0)))</x:f>
        <x:v>Stationery</x:v>
      </x:c>
    </x:row>
    <x:row r="53" ht="22" customHeight="1">
      <x:c r="A53" s="4" t="str">
        <x:v>L2025-007397</x:v>
      </x:c>
      <x:c r="B53" s="4" t="str">
        <x:v>O2025-02959</x:v>
      </x:c>
      <x:c r="C53" s="9" t="n">
        <x:v>45747</x:v>
      </x:c>
      <x:c r="D53" s="4" t="str">
        <x:v>S01</x:v>
      </x:c>
      <x:c r="E53" s="4" t="str">
        <x:v>P055</x:v>
      </x:c>
      <x:c r="F53" s="4" t="str">
        <x:f>IF(O53&lt;&gt;1,P53,_xlfn.XLOOKUP(N53,Products!$A$7:$A$66,Products!$B$7:$B$66,"Unmatched",0))</x:f>
        <x:v>Power bank</x:v>
      </x:c>
      <x:c r="G53" s="4" t="str">
        <x:f>IF(O53&lt;&gt;1,P53,_xlfn.XLOOKUP(N53,Products!$A$7:$A$66,Products!$C$7:$C$66,"Unmatched",0))</x:f>
        <x:v>Electronics</x:v>
      </x:c>
      <x:c r="H53" s="10" t="n">
        <x:v>5</x:v>
      </x:c>
      <x:c r="I53" s="11" t="n">
        <x:v>2750</x:v>
      </x:c>
      <x:c r="J53" s="11" t="n">
        <x:v>1375</x:v>
      </x:c>
      <x:c r="K53" s="11" t="n">
        <x:v>2310</x:v>
      </x:c>
      <x:c r="L53" s="11" t="n">
        <x:v>13750</x:v>
      </x:c>
      <x:c r="M53" s="11" t="n">
        <x:v>12375</x:v>
      </x:c>
      <x:c r="N53" s="4" t="str">
        <x:f>IF(ISNUMBER(E53),"P"&amp;TEXT(E53,"000"),TRIM(E53))</x:f>
        <x:v>P055</x:v>
      </x:c>
      <x:c r="O53" s="4" t="n">
        <x:f>COUNTIFS(Products!$A$7:$A$66,N53)</x:f>
        <x:v>1</x:v>
      </x:c>
      <x:c r="P53" s="4" t="str">
        <x:f>IF(O53=0,"Unmatched",IF(O53&gt;1,"Ambiguous","Matched"))</x:f>
        <x:v>Matched</x:v>
      </x:c>
      <x:c r="Q53" s="4" t="str">
        <x:f>IF(O53&lt;&gt;1,P53,INDEX(Products!$C$7:$C$66,MATCH(N53,Products!$A$7:$A$66,0)))</x:f>
        <x:v>Electronics</x:v>
      </x:c>
    </x:row>
    <x:row r="54" ht="22" customHeight="1">
      <x:c r="A54" s="4" t="str">
        <x:v>L2025-007398</x:v>
      </x:c>
      <x:c r="B54" s="4" t="str">
        <x:v>O2025-02960</x:v>
      </x:c>
      <x:c r="C54" s="9" t="n">
        <x:v>45748</x:v>
      </x:c>
      <x:c r="D54" s="4" t="str">
        <x:v>S02</x:v>
      </x:c>
      <x:c r="E54" s="4" t="str">
        <x:v>P043</x:v>
      </x:c>
      <x:c r="F54" s="4" t="str">
        <x:f>IF(O54&lt;&gt;1,P54,_xlfn.XLOOKUP(N54,Products!$A$7:$A$66,Products!$B$7:$B$66,"Unmatched",0))</x:f>
        <x:v>Face towel</x:v>
      </x:c>
      <x:c r="G54" s="4" t="str">
        <x:f>IF(O54&lt;&gt;1,P54,_xlfn.XLOOKUP(N54,Products!$A$7:$A$66,Products!$C$7:$C$66,"Unmatched",0))</x:f>
        <x:v>Personal care</x:v>
      </x:c>
      <x:c r="H54" s="10" t="n">
        <x:v>4</x:v>
      </x:c>
      <x:c r="I54" s="11" t="n">
        <x:v>308</x:v>
      </x:c>
      <x:c r="J54" s="11" t="n">
        <x:v>184.8</x:v>
      </x:c>
      <x:c r="K54" s="11" t="n">
        <x:v>197.12</x:v>
      </x:c>
      <x:c r="L54" s="11" t="n">
        <x:v>1232</x:v>
      </x:c>
      <x:c r="M54" s="11" t="n">
        <x:v>1047.2</x:v>
      </x:c>
      <x:c r="N54" s="4" t="str">
        <x:f>IF(ISNUMBER(E54),"P"&amp;TEXT(E54,"000"),TRIM(E54))</x:f>
        <x:v>P043</x:v>
      </x:c>
      <x:c r="O54" s="4" t="n">
        <x:f>COUNTIFS(Products!$A$7:$A$66,N54)</x:f>
        <x:v>1</x:v>
      </x:c>
      <x:c r="P54" s="4" t="str">
        <x:f>IF(O54=0,"Unmatched",IF(O54&gt;1,"Ambiguous","Matched"))</x:f>
        <x:v>Matched</x:v>
      </x:c>
      <x:c r="Q54" s="4" t="str">
        <x:f>IF(O54&lt;&gt;1,P54,INDEX(Products!$C$7:$C$66,MATCH(N54,Products!$A$7:$A$66,0)))</x:f>
        <x:v>Personal care</x:v>
      </x:c>
    </x:row>
    <x:row r="55" ht="22" customHeight="1">
      <x:c r="A55" s="4" t="str">
        <x:v>L2025-007399</x:v>
      </x:c>
      <x:c r="B55" s="4" t="str">
        <x:v>O2025-02960</x:v>
      </x:c>
      <x:c r="C55" s="9" t="n">
        <x:v>45748</x:v>
      </x:c>
      <x:c r="D55" s="4" t="str">
        <x:v>S02</x:v>
      </x:c>
      <x:c r="E55" s="4" t="str">
        <x:v>P043</x:v>
      </x:c>
      <x:c r="F55" s="4" t="str">
        <x:f>IF(O55&lt;&gt;1,P55,_xlfn.XLOOKUP(N55,Products!$A$7:$A$66,Products!$B$7:$B$66,"Unmatched",0))</x:f>
        <x:v>Face towel</x:v>
      </x:c>
      <x:c r="G55" s="4" t="str">
        <x:f>IF(O55&lt;&gt;1,P55,_xlfn.XLOOKUP(N55,Products!$A$7:$A$66,Products!$C$7:$C$66,"Unmatched",0))</x:f>
        <x:v>Personal care</x:v>
      </x:c>
      <x:c r="H55" s="10" t="n">
        <x:v>4</x:v>
      </x:c>
      <x:c r="I55" s="11" t="n">
        <x:v>308</x:v>
      </x:c>
      <x:c r="J55" s="11" t="n">
        <x:v>246.4</x:v>
      </x:c>
      <x:c r="K55" s="11" t="n">
        <x:v>197.12</x:v>
      </x:c>
      <x:c r="L55" s="11" t="n">
        <x:v>1232</x:v>
      </x:c>
      <x:c r="M55" s="11" t="n">
        <x:v>985.6</x:v>
      </x:c>
      <x:c r="N55" s="4" t="str">
        <x:f>IF(ISNUMBER(E55),"P"&amp;TEXT(E55,"000"),TRIM(E55))</x:f>
        <x:v>P043</x:v>
      </x:c>
      <x:c r="O55" s="4" t="n">
        <x:f>COUNTIFS(Products!$A$7:$A$66,N55)</x:f>
        <x:v>1</x:v>
      </x:c>
      <x:c r="P55" s="4" t="str">
        <x:f>IF(O55=0,"Unmatched",IF(O55&gt;1,"Ambiguous","Matched"))</x:f>
        <x:v>Matched</x:v>
      </x:c>
      <x:c r="Q55" s="4" t="str">
        <x:f>IF(O55&lt;&gt;1,P55,INDEX(Products!$C$7:$C$66,MATCH(N55,Products!$A$7:$A$66,0)))</x:f>
        <x:v>Personal care</x:v>
      </x:c>
    </x:row>
    <x:row r="56" ht="22" customHeight="1">
      <x:c r="A56" s="4" t="str">
        <x:v>L2025-007400</x:v>
      </x:c>
      <x:c r="B56" s="4" t="str">
        <x:v>O2025-02960</x:v>
      </x:c>
      <x:c r="C56" s="9" t="n">
        <x:v>45748</x:v>
      </x:c>
      <x:c r="D56" s="4" t="str">
        <x:v>S02</x:v>
      </x:c>
      <x:c r="E56" s="4" t="str">
        <x:v>P031</x:v>
      </x:c>
      <x:c r="F56" s="4" t="str">
        <x:f>IF(O56&lt;&gt;1,P56,_xlfn.XLOOKUP(N56,Products!$A$7:$A$66,Products!$B$7:$B$66,"Unmatched",0))</x:f>
        <x:v>Marker pack</x:v>
      </x:c>
      <x:c r="G56" s="4" t="str">
        <x:f>IF(O56&lt;&gt;1,P56,_xlfn.XLOOKUP(N56,Products!$A$7:$A$66,Products!$C$7:$C$66,"Unmatched",0))</x:f>
        <x:v>Stationery</x:v>
      </x:c>
      <x:c r="H56" s="10" t="n">
        <x:v>5</x:v>
      </x:c>
      <x:c r="I56" s="11" t="n">
        <x:v>110</x:v>
      </x:c>
      <x:c r="J56" s="11" t="n">
        <x:v>55</x:v>
      </x:c>
      <x:c r="K56" s="11" t="n">
        <x:v>57.2</x:v>
      </x:c>
      <x:c r="L56" s="11" t="n">
        <x:v>550</x:v>
      </x:c>
      <x:c r="M56" s="11" t="n">
        <x:v>495</x:v>
      </x:c>
      <x:c r="N56" s="4" t="str">
        <x:f>IF(ISNUMBER(E56),"P"&amp;TEXT(E56,"000"),TRIM(E56))</x:f>
        <x:v>P031</x:v>
      </x:c>
      <x:c r="O56" s="4" t="n">
        <x:f>COUNTIFS(Products!$A$7:$A$66,N56)</x:f>
        <x:v>1</x:v>
      </x:c>
      <x:c r="P56" s="4" t="str">
        <x:f>IF(O56=0,"Unmatched",IF(O56&gt;1,"Ambiguous","Matched"))</x:f>
        <x:v>Matched</x:v>
      </x:c>
      <x:c r="Q56" s="4" t="str">
        <x:f>IF(O56&lt;&gt;1,P56,INDEX(Products!$C$7:$C$66,MATCH(N56,Products!$A$7:$A$66,0)))</x:f>
        <x:v>Stationery</x:v>
      </x:c>
    </x:row>
    <x:row r="57" ht="22" customHeight="1">
      <x:c r="A57" s="4" t="str">
        <x:v>L2025-007888</x:v>
      </x:c>
      <x:c r="B57" s="4" t="str">
        <x:v>O2025-03156</x:v>
      </x:c>
      <x:c r="C57" s="9" t="n">
        <x:v>45753</x:v>
      </x:c>
      <x:c r="D57" s="4" t="str">
        <x:v>S02</x:v>
      </x:c>
      <x:c r="E57" s="4" t="str">
        <x:v>P015</x:v>
      </x:c>
      <x:c r="F57" s="4" t="str">
        <x:f>IF(O57&lt;&gt;1,P57,_xlfn.XLOOKUP(N57,Products!$A$7:$A$66,Products!$B$7:$B$66,"Unmatched",0))</x:f>
        <x:v>Floor brush</x:v>
      </x:c>
      <x:c r="G57" s="4" t="str">
        <x:f>IF(O57&lt;&gt;1,P57,_xlfn.XLOOKUP(N57,Products!$A$7:$A$66,Products!$C$7:$C$66,"Unmatched",0))</x:f>
        <x:v>Home care</x:v>
      </x:c>
      <x:c r="H57" s="10" t="n">
        <x:v>1</x:v>
      </x:c>
      <x:c r="I57" s="11" t="n">
        <x:v>168</x:v>
      </x:c>
      <x:c r="J57" s="11" t="n">
        <x:v>8.4</x:v>
      </x:c>
      <x:c r="K57" s="11" t="n">
        <x:v>104.16</x:v>
      </x:c>
      <x:c r="L57" s="11" t="n">
        <x:v>168</x:v>
      </x:c>
      <x:c r="M57" s="11" t="n">
        <x:v>159.6</x:v>
      </x:c>
      <x:c r="N57" s="4" t="str">
        <x:f>IF(ISNUMBER(E57),"P"&amp;TEXT(E57,"000"),TRIM(E57))</x:f>
        <x:v>P015</x:v>
      </x:c>
      <x:c r="O57" s="4" t="n">
        <x:f>COUNTIFS(Products!$A$7:$A$66,N57)</x:f>
        <x:v>1</x:v>
      </x:c>
      <x:c r="P57" s="4" t="str">
        <x:f>IF(O57=0,"Unmatched",IF(O57&gt;1,"Ambiguous","Matched"))</x:f>
        <x:v>Matched</x:v>
      </x:c>
      <x:c r="Q57" s="4" t="str">
        <x:f>IF(O57&lt;&gt;1,P57,INDEX(Products!$C$7:$C$66,MATCH(N57,Products!$A$7:$A$66,0)))</x:f>
        <x:v>Home care</x:v>
      </x:c>
    </x:row>
    <x:row r="58" ht="22" customHeight="1">
      <x:c r="A58" s="4" t="str">
        <x:v>L2025-007889</x:v>
      </x:c>
      <x:c r="B58" s="4" t="str">
        <x:v>O2025-03156</x:v>
      </x:c>
      <x:c r="C58" s="9" t="n">
        <x:v>45753</x:v>
      </x:c>
      <x:c r="D58" s="4" t="str">
        <x:v>S02</x:v>
      </x:c>
      <x:c r="E58" s="4" t="str">
        <x:v>P028</x:v>
      </x:c>
      <x:c r="F58" s="4" t="str">
        <x:f>IF(O58&lt;&gt;1,P58,_xlfn.XLOOKUP(N58,Products!$A$7:$A$66,Products!$B$7:$B$66,"Unmatched",0))</x:f>
        <x:v>Eraser pack</x:v>
      </x:c>
      <x:c r="G58" s="4" t="str">
        <x:f>IF(O58&lt;&gt;1,P58,_xlfn.XLOOKUP(N58,Products!$A$7:$A$66,Products!$C$7:$C$66,"Unmatched",0))</x:f>
        <x:v>Stationery</x:v>
      </x:c>
      <x:c r="H58" s="10" t="n">
        <x:v>4</x:v>
      </x:c>
      <x:c r="I58" s="11" t="n">
        <x:v>80</x:v>
      </x:c>
      <x:c r="J58" s="11" t="n">
        <x:v>0</x:v>
      </x:c>
      <x:c r="K58" s="11" t="n">
        <x:v>41.6</x:v>
      </x:c>
      <x:c r="L58" s="11" t="n">
        <x:v>320</x:v>
      </x:c>
      <x:c r="M58" s="11" t="n">
        <x:v>320</x:v>
      </x:c>
      <x:c r="N58" s="4" t="str">
        <x:f>IF(ISNUMBER(E58),"P"&amp;TEXT(E58,"000"),TRIM(E58))</x:f>
        <x:v>P028</x:v>
      </x:c>
      <x:c r="O58" s="4" t="n">
        <x:f>COUNTIFS(Products!$A$7:$A$66,N58)</x:f>
        <x:v>1</x:v>
      </x:c>
      <x:c r="P58" s="4" t="str">
        <x:f>IF(O58=0,"Unmatched",IF(O58&gt;1,"Ambiguous","Matched"))</x:f>
        <x:v>Matched</x:v>
      </x:c>
      <x:c r="Q58" s="4" t="str">
        <x:f>IF(O58&lt;&gt;1,P58,INDEX(Products!$C$7:$C$66,MATCH(N58,Products!$A$7:$A$66,0)))</x:f>
        <x:v>Stationery</x:v>
      </x:c>
    </x:row>
    <x:row r="59" ht="22" customHeight="1">
      <x:c r="A59" s="4" t="str">
        <x:v>L2025-007890</x:v>
      </x:c>
      <x:c r="B59" s="4" t="str">
        <x:v>O2025-03156</x:v>
      </x:c>
      <x:c r="C59" s="9" t="n">
        <x:v>45753</x:v>
      </x:c>
      <x:c r="D59" s="4" t="str">
        <x:v>S02</x:v>
      </x:c>
      <x:c r="E59" s="4" t="str">
        <x:v>P011</x:v>
      </x:c>
      <x:c r="F59" s="4" t="str">
        <x:f>IF(O59&lt;&gt;1,P59,_xlfn.XLOOKUP(N59,Products!$A$7:$A$66,Products!$B$7:$B$66,"Unmatched",0))</x:f>
        <x:v>Pan</x:v>
      </x:c>
      <x:c r="G59" s="4" t="str">
        <x:f>IF(O59&lt;&gt;1,P59,_xlfn.XLOOKUP(N59,Products!$A$7:$A$66,Products!$C$7:$C$66,"Unmatched",0))</x:f>
        <x:v>Kitchen</x:v>
      </x:c>
      <x:c r="H59" s="10" t="n">
        <x:v>4</x:v>
      </x:c>
      <x:c r="I59" s="11" t="n">
        <x:v>540</x:v>
      </x:c>
      <x:c r="J59" s="11" t="n">
        <x:v>324</x:v>
      </x:c>
      <x:c r="K59" s="11" t="n">
        <x:v>324</x:v>
      </x:c>
      <x:c r="L59" s="11" t="n">
        <x:v>2160</x:v>
      </x:c>
      <x:c r="M59" s="11" t="n">
        <x:v>1836</x:v>
      </x:c>
      <x:c r="N59" s="4" t="str">
        <x:f>IF(ISNUMBER(E59),"P"&amp;TEXT(E59,"000"),TRIM(E59))</x:f>
        <x:v>P011</x:v>
      </x:c>
      <x:c r="O59" s="4" t="n">
        <x:f>COUNTIFS(Products!$A$7:$A$66,N59)</x:f>
        <x:v>1</x:v>
      </x:c>
      <x:c r="P59" s="4" t="str">
        <x:f>IF(O59=0,"Unmatched",IF(O59&gt;1,"Ambiguous","Matched"))</x:f>
        <x:v>Matched</x:v>
      </x:c>
      <x:c r="Q59" s="4" t="str">
        <x:f>IF(O59&lt;&gt;1,P59,INDEX(Products!$C$7:$C$66,MATCH(N59,Products!$A$7:$A$66,0)))</x:f>
        <x:v>Kitchen</x:v>
      </x:c>
    </x:row>
    <x:row r="60" ht="22" customHeight="1">
      <x:c r="A60" s="4" t="str">
        <x:v>L2025-008381</x:v>
      </x:c>
      <x:c r="B60" s="4" t="str">
        <x:v>O2025-03353</x:v>
      </x:c>
      <x:c r="C60" s="9" t="n">
        <x:v>45759</x:v>
      </x:c>
      <x:c r="D60" s="4" t="str">
        <x:v>S01</x:v>
      </x:c>
      <x:c r="E60" s="4" t="str">
        <x:v>P049</x:v>
      </x:c>
      <x:c r="F60" s="4" t="str">
        <x:f>IF(O60&lt;&gt;1,P60,_xlfn.XLOOKUP(N60,Products!$A$7:$A$66,Products!$B$7:$B$66,"Unmatched",0))</x:f>
        <x:v>USB cable</x:v>
      </x:c>
      <x:c r="G60" s="4" t="str">
        <x:f>IF(O60&lt;&gt;1,P60,_xlfn.XLOOKUP(N60,Products!$A$7:$A$66,Products!$C$7:$C$66,"Unmatched",0))</x:f>
        <x:v>Electronics</x:v>
      </x:c>
      <x:c r="H60" s="10" t="n">
        <x:v>4</x:v>
      </x:c>
      <x:c r="I60" s="11" t="n">
        <x:v>1250</x:v>
      </x:c>
      <x:c r="J60" s="11" t="n">
        <x:v>750</x:v>
      </x:c>
      <x:c r="K60" s="11" t="n">
        <x:v>1050</x:v>
      </x:c>
      <x:c r="L60" s="11" t="n">
        <x:v>5000</x:v>
      </x:c>
      <x:c r="M60" s="11" t="n">
        <x:v>4250</x:v>
      </x:c>
      <x:c r="N60" s="4" t="str">
        <x:f>IF(ISNUMBER(E60),"P"&amp;TEXT(E60,"000"),TRIM(E60))</x:f>
        <x:v>P049</x:v>
      </x:c>
      <x:c r="O60" s="4" t="n">
        <x:f>COUNTIFS(Products!$A$7:$A$66,N60)</x:f>
        <x:v>1</x:v>
      </x:c>
      <x:c r="P60" s="4" t="str">
        <x:f>IF(O60=0,"Unmatched",IF(O60&gt;1,"Ambiguous","Matched"))</x:f>
        <x:v>Matched</x:v>
      </x:c>
      <x:c r="Q60" s="4" t="str">
        <x:f>IF(O60&lt;&gt;1,P60,INDEX(Products!$C$7:$C$66,MATCH(N60,Products!$A$7:$A$66,0)))</x:f>
        <x:v>Electronics</x:v>
      </x:c>
    </x:row>
    <x:row r="61" ht="22" customHeight="1">
      <x:c r="A61" s="4" t="str">
        <x:v>L2025-008382</x:v>
      </x:c>
      <x:c r="B61" s="4" t="str">
        <x:v>O2025-03353</x:v>
      </x:c>
      <x:c r="C61" s="9" t="n">
        <x:v>45759</x:v>
      </x:c>
      <x:c r="D61" s="4" t="str">
        <x:v>S01</x:v>
      </x:c>
      <x:c r="E61" s="4" t="str">
        <x:v>P006</x:v>
      </x:c>
      <x:c r="F61" s="4" t="str">
        <x:f>IF(O61&lt;&gt;1,P61,_xlfn.XLOOKUP(N61,Products!$A$7:$A$66,Products!$B$7:$B$66,"Unmatched",0))</x:f>
        <x:v>Tea strainer</x:v>
      </x:c>
      <x:c r="G61" s="4" t="str">
        <x:f>IF(O61&lt;&gt;1,P61,_xlfn.XLOOKUP(N61,Products!$A$7:$A$66,Products!$C$7:$C$66,"Unmatched",0))</x:f>
        <x:v>Kitchen</x:v>
      </x:c>
      <x:c r="H61" s="10" t="n">
        <x:v>3</x:v>
      </x:c>
      <x:c r="I61" s="11" t="n">
        <x:v>360</x:v>
      </x:c>
      <x:c r="J61" s="11" t="n">
        <x:v>162</x:v>
      </x:c>
      <x:c r="K61" s="11" t="n">
        <x:v>216</x:v>
      </x:c>
      <x:c r="L61" s="11" t="n">
        <x:v>1080</x:v>
      </x:c>
      <x:c r="M61" s="11" t="n">
        <x:v>918</x:v>
      </x:c>
      <x:c r="N61" s="4" t="str">
        <x:f>IF(ISNUMBER(E61),"P"&amp;TEXT(E61,"000"),TRIM(E61))</x:f>
        <x:v>P006</x:v>
      </x:c>
      <x:c r="O61" s="4" t="n">
        <x:f>COUNTIFS(Products!$A$7:$A$66,N61)</x:f>
        <x:v>1</x:v>
      </x:c>
      <x:c r="P61" s="4" t="str">
        <x:f>IF(O61=0,"Unmatched",IF(O61&gt;1,"Ambiguous","Matched"))</x:f>
        <x:v>Matched</x:v>
      </x:c>
      <x:c r="Q61" s="4" t="str">
        <x:f>IF(O61&lt;&gt;1,P61,INDEX(Products!$C$7:$C$66,MATCH(N61,Products!$A$7:$A$66,0)))</x:f>
        <x:v>Kitchen</x:v>
      </x:c>
    </x:row>
    <x:row r="62" ht="22" customHeight="1">
      <x:c r="A62" s="4" t="str">
        <x:v>L2025-008876</x:v>
      </x:c>
      <x:c r="B62" s="4" t="str">
        <x:v>O2025-03551</x:v>
      </x:c>
      <x:c r="C62" s="9" t="n">
        <x:v>45765</x:v>
      </x:c>
      <x:c r="D62" s="4" t="str">
        <x:v>WEB</x:v>
      </x:c>
      <x:c r="E62" s="4" t="str">
        <x:v>P055</x:v>
      </x:c>
      <x:c r="F62" s="4" t="str">
        <x:f>IF(O62&lt;&gt;1,P62,_xlfn.XLOOKUP(N62,Products!$A$7:$A$66,Products!$B$7:$B$66,"Unmatched",0))</x:f>
        <x:v>Power bank</x:v>
      </x:c>
      <x:c r="G62" s="4" t="str">
        <x:f>IF(O62&lt;&gt;1,P62,_xlfn.XLOOKUP(N62,Products!$A$7:$A$66,Products!$C$7:$C$66,"Unmatched",0))</x:f>
        <x:v>Electronics</x:v>
      </x:c>
      <x:c r="H62" s="10" t="n">
        <x:v>4</x:v>
      </x:c>
      <x:c r="I62" s="11" t="n">
        <x:v>2750</x:v>
      </x:c>
      <x:c r="J62" s="11" t="n">
        <x:v>550</x:v>
      </x:c>
      <x:c r="K62" s="11" t="n">
        <x:v>2310</x:v>
      </x:c>
      <x:c r="L62" s="11" t="n">
        <x:v>11000</x:v>
      </x:c>
      <x:c r="M62" s="11" t="n">
        <x:v>10450</x:v>
      </x:c>
      <x:c r="N62" s="4" t="str">
        <x:f>IF(ISNUMBER(E62),"P"&amp;TEXT(E62,"000"),TRIM(E62))</x:f>
        <x:v>P055</x:v>
      </x:c>
      <x:c r="O62" s="4" t="n">
        <x:f>COUNTIFS(Products!$A$7:$A$66,N62)</x:f>
        <x:v>1</x:v>
      </x:c>
      <x:c r="P62" s="4" t="str">
        <x:f>IF(O62=0,"Unmatched",IF(O62&gt;1,"Ambiguous","Matched"))</x:f>
        <x:v>Matched</x:v>
      </x:c>
      <x:c r="Q62" s="4" t="str">
        <x:f>IF(O62&lt;&gt;1,P62,INDEX(Products!$C$7:$C$66,MATCH(N62,Products!$A$7:$A$66,0)))</x:f>
        <x:v>Electronics</x:v>
      </x:c>
    </x:row>
    <x:row r="63" ht="22" customHeight="1">
      <x:c r="A63" s="4" t="str">
        <x:v>L2025-008877</x:v>
      </x:c>
      <x:c r="B63" s="4" t="str">
        <x:v>O2025-03551</x:v>
      </x:c>
      <x:c r="C63" s="9" t="n">
        <x:v>45765</x:v>
      </x:c>
      <x:c r="D63" s="4" t="str">
        <x:v>WEB</x:v>
      </x:c>
      <x:c r="E63" s="4" t="str">
        <x:v>P006</x:v>
      </x:c>
      <x:c r="F63" s="4" t="str">
        <x:f>IF(O63&lt;&gt;1,P63,_xlfn.XLOOKUP(N63,Products!$A$7:$A$66,Products!$B$7:$B$66,"Unmatched",0))</x:f>
        <x:v>Tea strainer</x:v>
      </x:c>
      <x:c r="G63" s="4" t="str">
        <x:f>IF(O63&lt;&gt;1,P63,_xlfn.XLOOKUP(N63,Products!$A$7:$A$66,Products!$C$7:$C$66,"Unmatched",0))</x:f>
        <x:v>Kitchen</x:v>
      </x:c>
      <x:c r="H63" s="10" t="n">
        <x:v>4</x:v>
      </x:c>
      <x:c r="I63" s="11" t="n">
        <x:v>360</x:v>
      </x:c>
      <x:c r="J63" s="11" t="n">
        <x:v>0</x:v>
      </x:c>
      <x:c r="K63" s="11" t="n">
        <x:v>216</x:v>
      </x:c>
      <x:c r="L63" s="11" t="n">
        <x:v>1440</x:v>
      </x:c>
      <x:c r="M63" s="11" t="n">
        <x:v>1440</x:v>
      </x:c>
      <x:c r="N63" s="4" t="str">
        <x:f>IF(ISNUMBER(E63),"P"&amp;TEXT(E63,"000"),TRIM(E63))</x:f>
        <x:v>P006</x:v>
      </x:c>
      <x:c r="O63" s="4" t="n">
        <x:f>COUNTIFS(Products!$A$7:$A$66,N63)</x:f>
        <x:v>1</x:v>
      </x:c>
      <x:c r="P63" s="4" t="str">
        <x:f>IF(O63=0,"Unmatched",IF(O63&gt;1,"Ambiguous","Matched"))</x:f>
        <x:v>Matched</x:v>
      </x:c>
      <x:c r="Q63" s="4" t="str">
        <x:f>IF(O63&lt;&gt;1,P63,INDEX(Products!$C$7:$C$66,MATCH(N63,Products!$A$7:$A$66,0)))</x:f>
        <x:v>Kitchen</x:v>
      </x:c>
    </x:row>
    <x:row r="64" ht="22" customHeight="1">
      <x:c r="A64" s="4" t="str">
        <x:v>L2025-009368</x:v>
      </x:c>
      <x:c r="B64" s="4" t="str">
        <x:v>O2025-03748</x:v>
      </x:c>
      <x:c r="C64" s="9" t="n">
        <x:v>45771</x:v>
      </x:c>
      <x:c r="D64" s="4" t="str">
        <x:v>S01</x:v>
      </x:c>
      <x:c r="E64" s="4" t="str">
        <x:v>P059</x:v>
      </x:c>
      <x:c r="F64" s="4" t="str">
        <x:f>IF(O64&lt;&gt;1,P64,_xlfn.XLOOKUP(N64,Products!$A$7:$A$66,Products!$B$7:$B$66,"Unmatched",0))</x:f>
        <x:v>Monitor</x:v>
      </x:c>
      <x:c r="G64" s="4" t="str">
        <x:f>IF(O64&lt;&gt;1,P64,_xlfn.XLOOKUP(N64,Products!$A$7:$A$66,Products!$C$7:$C$66,"Unmatched",0))</x:f>
        <x:v>Electronics</x:v>
      </x:c>
      <x:c r="H64" s="10" t="n">
        <x:v>1</x:v>
      </x:c>
      <x:c r="I64" s="11" t="n">
        <x:v>3750</x:v>
      </x:c>
      <x:c r="J64" s="11" t="n">
        <x:v>375</x:v>
      </x:c>
      <x:c r="K64" s="11" t="n">
        <x:v>3150</x:v>
      </x:c>
      <x:c r="L64" s="11" t="n">
        <x:v>3750</x:v>
      </x:c>
      <x:c r="M64" s="11" t="n">
        <x:v>3375</x:v>
      </x:c>
      <x:c r="N64" s="4" t="str">
        <x:f>IF(ISNUMBER(E64),"P"&amp;TEXT(E64,"000"),TRIM(E64))</x:f>
        <x:v>P059</x:v>
      </x:c>
      <x:c r="O64" s="4" t="n">
        <x:f>COUNTIFS(Products!$A$7:$A$66,N64)</x:f>
        <x:v>1</x:v>
      </x:c>
      <x:c r="P64" s="4" t="str">
        <x:f>IF(O64=0,"Unmatched",IF(O64&gt;1,"Ambiguous","Matched"))</x:f>
        <x:v>Matched</x:v>
      </x:c>
      <x:c r="Q64" s="4" t="str">
        <x:f>IF(O64&lt;&gt;1,P64,INDEX(Products!$C$7:$C$66,MATCH(N64,Products!$A$7:$A$66,0)))</x:f>
        <x:v>Electronics</x:v>
      </x:c>
    </x:row>
    <x:row r="65" ht="22" customHeight="1">
      <x:c r="A65" s="4" t="str">
        <x:v>L2025-009369</x:v>
      </x:c>
      <x:c r="B65" s="4" t="str">
        <x:v>O2025-03748</x:v>
      </x:c>
      <x:c r="C65" s="9" t="n">
        <x:v>45771</x:v>
      </x:c>
      <x:c r="D65" s="4" t="str">
        <x:v>S01</x:v>
      </x:c>
      <x:c r="E65" s="4" t="str">
        <x:v>P001</x:v>
      </x:c>
      <x:c r="F65" s="4" t="str">
        <x:f>IF(O65&lt;&gt;1,P65,_xlfn.XLOOKUP(N65,Products!$A$7:$A$66,Products!$B$7:$B$66,"Unmatched",0))</x:f>
        <x:v>Steel cup</x:v>
      </x:c>
      <x:c r="G65" s="4" t="str">
        <x:f>IF(O65&lt;&gt;1,P65,_xlfn.XLOOKUP(N65,Products!$A$7:$A$66,Products!$C$7:$C$66,"Unmatched",0))</x:f>
        <x:v>Kitchen</x:v>
      </x:c>
      <x:c r="H65" s="10" t="n">
        <x:v>5</x:v>
      </x:c>
      <x:c r="I65" s="11" t="n">
        <x:v>180</x:v>
      </x:c>
      <x:c r="J65" s="11" t="n">
        <x:v>90</x:v>
      </x:c>
      <x:c r="K65" s="11" t="n">
        <x:v>108</x:v>
      </x:c>
      <x:c r="L65" s="11" t="n">
        <x:v>900</x:v>
      </x:c>
      <x:c r="M65" s="11" t="n">
        <x:v>810</x:v>
      </x:c>
      <x:c r="N65" s="4" t="str">
        <x:f>IF(ISNUMBER(E65),"P"&amp;TEXT(E65,"000"),TRIM(E65))</x:f>
        <x:v>P001</x:v>
      </x:c>
      <x:c r="O65" s="4" t="n">
        <x:f>COUNTIFS(Products!$A$7:$A$66,N65)</x:f>
        <x:v>1</x:v>
      </x:c>
      <x:c r="P65" s="4" t="str">
        <x:f>IF(O65=0,"Unmatched",IF(O65&gt;1,"Ambiguous","Matched"))</x:f>
        <x:v>Matched</x:v>
      </x:c>
      <x:c r="Q65" s="4" t="str">
        <x:f>IF(O65&lt;&gt;1,P65,INDEX(Products!$C$7:$C$66,MATCH(N65,Products!$A$7:$A$66,0)))</x:f>
        <x:v>Kitchen</x:v>
      </x:c>
    </x:row>
    <x:row r="66" ht="22" customHeight="1">
      <x:c r="A66" s="4" t="str">
        <x:v>L2025-009370</x:v>
      </x:c>
      <x:c r="B66" s="4" t="str">
        <x:v>O2025-03748</x:v>
      </x:c>
      <x:c r="C66" s="9" t="n">
        <x:v>45771</x:v>
      </x:c>
      <x:c r="D66" s="4" t="str">
        <x:v>S01</x:v>
      </x:c>
      <x:c r="E66" s="4" t="str">
        <x:v>P049</x:v>
      </x:c>
      <x:c r="F66" s="4" t="str">
        <x:f>IF(O66&lt;&gt;1,P66,_xlfn.XLOOKUP(N66,Products!$A$7:$A$66,Products!$B$7:$B$66,"Unmatched",0))</x:f>
        <x:v>USB cable</x:v>
      </x:c>
      <x:c r="G66" s="4" t="str">
        <x:f>IF(O66&lt;&gt;1,P66,_xlfn.XLOOKUP(N66,Products!$A$7:$A$66,Products!$C$7:$C$66,"Unmatched",0))</x:f>
        <x:v>Electronics</x:v>
      </x:c>
      <x:c r="H66" s="10" t="n">
        <x:v>2</x:v>
      </x:c>
      <x:c r="I66" s="11" t="n">
        <x:v>1250</x:v>
      </x:c>
      <x:c r="J66" s="11" t="n">
        <x:v>250</x:v>
      </x:c>
      <x:c r="K66" s="11" t="n">
        <x:v>1050</x:v>
      </x:c>
      <x:c r="L66" s="11" t="n">
        <x:v>2500</x:v>
      </x:c>
      <x:c r="M66" s="11" t="n">
        <x:v>2250</x:v>
      </x:c>
      <x:c r="N66" s="4" t="str">
        <x:f>IF(ISNUMBER(E66),"P"&amp;TEXT(E66,"000"),TRIM(E66))</x:f>
        <x:v>P049</x:v>
      </x:c>
      <x:c r="O66" s="4" t="n">
        <x:f>COUNTIFS(Products!$A$7:$A$66,N66)</x:f>
        <x:v>1</x:v>
      </x:c>
      <x:c r="P66" s="4" t="str">
        <x:f>IF(O66=0,"Unmatched",IF(O66&gt;1,"Ambiguous","Matched"))</x:f>
        <x:v>Matched</x:v>
      </x:c>
      <x:c r="Q66" s="4" t="str">
        <x:f>IF(O66&lt;&gt;1,P66,INDEX(Products!$C$7:$C$66,MATCH(N66,Products!$A$7:$A$66,0)))</x:f>
        <x:v>Electronics</x:v>
      </x:c>
    </x:row>
    <x:row r="67" ht="22" customHeight="1">
      <x:c r="A67" s="4" t="str">
        <x:v>L2025-009863</x:v>
      </x:c>
      <x:c r="B67" s="4" t="str">
        <x:v>O2025-03946</x:v>
      </x:c>
      <x:c r="C67" s="9" t="n">
        <x:v>45777</x:v>
      </x:c>
      <x:c r="D67" s="4" t="str">
        <x:v>WEB</x:v>
      </x:c>
      <x:c r="E67" s="4" t="str">
        <x:v>P049</x:v>
      </x:c>
      <x:c r="F67" s="4" t="str">
        <x:f>IF(O67&lt;&gt;1,P67,_xlfn.XLOOKUP(N67,Products!$A$7:$A$66,Products!$B$7:$B$66,"Unmatched",0))</x:f>
        <x:v>USB cable</x:v>
      </x:c>
      <x:c r="G67" s="4" t="str">
        <x:f>IF(O67&lt;&gt;1,P67,_xlfn.XLOOKUP(N67,Products!$A$7:$A$66,Products!$C$7:$C$66,"Unmatched",0))</x:f>
        <x:v>Electronics</x:v>
      </x:c>
      <x:c r="H67" s="10" t="n">
        <x:v>3</x:v>
      </x:c>
      <x:c r="I67" s="11" t="n">
        <x:v>1250</x:v>
      </x:c>
      <x:c r="J67" s="11" t="n">
        <x:v>187.5</x:v>
      </x:c>
      <x:c r="K67" s="11" t="n">
        <x:v>1050</x:v>
      </x:c>
      <x:c r="L67" s="11" t="n">
        <x:v>3750</x:v>
      </x:c>
      <x:c r="M67" s="11" t="n">
        <x:v>3562.5</x:v>
      </x:c>
      <x:c r="N67" s="4" t="str">
        <x:f>IF(ISNUMBER(E67),"P"&amp;TEXT(E67,"000"),TRIM(E67))</x:f>
        <x:v>P049</x:v>
      </x:c>
      <x:c r="O67" s="4" t="n">
        <x:f>COUNTIFS(Products!$A$7:$A$66,N67)</x:f>
        <x:v>1</x:v>
      </x:c>
      <x:c r="P67" s="4" t="str">
        <x:f>IF(O67=0,"Unmatched",IF(O67&gt;1,"Ambiguous","Matched"))</x:f>
        <x:v>Matched</x:v>
      </x:c>
      <x:c r="Q67" s="4" t="str">
        <x:f>IF(O67&lt;&gt;1,P67,INDEX(Products!$C$7:$C$66,MATCH(N67,Products!$A$7:$A$66,0)))</x:f>
        <x:v>Electronics</x:v>
      </x:c>
    </x:row>
    <x:row r="68" ht="22" customHeight="1">
      <x:c r="A68" s="4" t="str">
        <x:v>L2025-009864</x:v>
      </x:c>
      <x:c r="B68" s="4" t="str">
        <x:v>O2025-03946</x:v>
      </x:c>
      <x:c r="C68" s="9" t="n">
        <x:v>45777</x:v>
      </x:c>
      <x:c r="D68" s="4" t="str">
        <x:v>WEB</x:v>
      </x:c>
      <x:c r="E68" s="4" t="str">
        <x:v>P035</x:v>
      </x:c>
      <x:c r="F68" s="4" t="str">
        <x:f>IF(O68&lt;&gt;1,P68,_xlfn.XLOOKUP(N68,Products!$A$7:$A$66,Products!$B$7:$B$66,"Unmatched",0))</x:f>
        <x:v>Planner</x:v>
      </x:c>
      <x:c r="G68" s="4" t="str">
        <x:f>IF(O68&lt;&gt;1,P68,_xlfn.XLOOKUP(N68,Products!$A$7:$A$66,Products!$C$7:$C$66,"Unmatched",0))</x:f>
        <x:v>Stationery</x:v>
      </x:c>
      <x:c r="H68" s="10" t="n">
        <x:v>2</x:v>
      </x:c>
      <x:c r="I68" s="11" t="n">
        <x:v>150</x:v>
      </x:c>
      <x:c r="J68" s="11" t="n">
        <x:v>30</x:v>
      </x:c>
      <x:c r="K68" s="11" t="n">
        <x:v>78</x:v>
      </x:c>
      <x:c r="L68" s="11" t="n">
        <x:v>300</x:v>
      </x:c>
      <x:c r="M68" s="11" t="n">
        <x:v>270</x:v>
      </x:c>
      <x:c r="N68" s="4" t="str">
        <x:f>IF(ISNUMBER(E68),"P"&amp;TEXT(E68,"000"),TRIM(E68))</x:f>
        <x:v>P035</x:v>
      </x:c>
      <x:c r="O68" s="4" t="n">
        <x:f>COUNTIFS(Products!$A$7:$A$66,N68)</x:f>
        <x:v>1</x:v>
      </x:c>
      <x:c r="P68" s="4" t="str">
        <x:f>IF(O68=0,"Unmatched",IF(O68&gt;1,"Ambiguous","Matched"))</x:f>
        <x:v>Matched</x:v>
      </x:c>
      <x:c r="Q68" s="4" t="str">
        <x:f>IF(O68&lt;&gt;1,P68,INDEX(Products!$C$7:$C$66,MATCH(N68,Products!$A$7:$A$66,0)))</x:f>
        <x:v>Stationery</x:v>
      </x:c>
    </x:row>
    <x:row r="69" ht="22" customHeight="1">
      <x:c r="A69" s="4" t="str">
        <x:v>L2025-009865</x:v>
      </x:c>
      <x:c r="B69" s="4" t="str">
        <x:v>O2025-03946</x:v>
      </x:c>
      <x:c r="C69" s="9" t="n">
        <x:v>45777</x:v>
      </x:c>
      <x:c r="D69" s="4" t="str">
        <x:v>WEB</x:v>
      </x:c>
      <x:c r="E69" s="4" t="str">
        <x:v>P055</x:v>
      </x:c>
      <x:c r="F69" s="4" t="str">
        <x:f>IF(O69&lt;&gt;1,P69,_xlfn.XLOOKUP(N69,Products!$A$7:$A$66,Products!$B$7:$B$66,"Unmatched",0))</x:f>
        <x:v>Power bank</x:v>
      </x:c>
      <x:c r="G69" s="4" t="str">
        <x:f>IF(O69&lt;&gt;1,P69,_xlfn.XLOOKUP(N69,Products!$A$7:$A$66,Products!$C$7:$C$66,"Unmatched",0))</x:f>
        <x:v>Electronics</x:v>
      </x:c>
      <x:c r="H69" s="10" t="n">
        <x:v>1</x:v>
      </x:c>
      <x:c r="I69" s="11" t="n">
        <x:v>2750</x:v>
      </x:c>
      <x:c r="J69" s="11" t="n">
        <x:v>412.5</x:v>
      </x:c>
      <x:c r="K69" s="11" t="n">
        <x:v>2310</x:v>
      </x:c>
      <x:c r="L69" s="11" t="n">
        <x:v>2750</x:v>
      </x:c>
      <x:c r="M69" s="11" t="n">
        <x:v>2337.5</x:v>
      </x:c>
      <x:c r="N69" s="4" t="str">
        <x:f>IF(ISNUMBER(E69),"P"&amp;TEXT(E69,"000"),TRIM(E69))</x:f>
        <x:v>P055</x:v>
      </x:c>
      <x:c r="O69" s="4" t="n">
        <x:f>COUNTIFS(Products!$A$7:$A$66,N69)</x:f>
        <x:v>1</x:v>
      </x:c>
      <x:c r="P69" s="4" t="str">
        <x:f>IF(O69=0,"Unmatched",IF(O69&gt;1,"Ambiguous","Matched"))</x:f>
        <x:v>Matched</x:v>
      </x:c>
      <x:c r="Q69" s="4" t="str">
        <x:f>IF(O69&lt;&gt;1,P69,INDEX(Products!$C$7:$C$66,MATCH(N69,Products!$A$7:$A$66,0)))</x:f>
        <x:v>Electronics</x:v>
      </x:c>
    </x:row>
    <x:row r="70" ht="22" customHeight="1">
      <x:c r="A70" s="4" t="str">
        <x:v>L2025-009866</x:v>
      </x:c>
      <x:c r="B70" s="4" t="str">
        <x:v>O2025-03947</x:v>
      </x:c>
      <x:c r="C70" s="9" t="n">
        <x:v>45778</x:v>
      </x:c>
      <x:c r="D70" s="4" t="str">
        <x:v>S05</x:v>
      </x:c>
      <x:c r="E70" s="4" t="str">
        <x:v>P058</x:v>
      </x:c>
      <x:c r="F70" s="4" t="str">
        <x:f>IF(O70&lt;&gt;1,P70,_xlfn.XLOOKUP(N70,Products!$A$7:$A$66,Products!$B$7:$B$66,"Unmatched",0))</x:f>
        <x:v>Router</x:v>
      </x:c>
      <x:c r="G70" s="4" t="str">
        <x:f>IF(O70&lt;&gt;1,P70,_xlfn.XLOOKUP(N70,Products!$A$7:$A$66,Products!$C$7:$C$66,"Unmatched",0))</x:f>
        <x:v>Electronics</x:v>
      </x:c>
      <x:c r="H70" s="10" t="n">
        <x:v>4</x:v>
      </x:c>
      <x:c r="I70" s="11" t="n">
        <x:v>3500</x:v>
      </x:c>
      <x:c r="J70" s="11" t="n">
        <x:v>2100</x:v>
      </x:c>
      <x:c r="K70" s="11" t="n">
        <x:v>2940</x:v>
      </x:c>
      <x:c r="L70" s="11" t="n">
        <x:v>14000</x:v>
      </x:c>
      <x:c r="M70" s="11" t="n">
        <x:v>11900</x:v>
      </x:c>
      <x:c r="N70" s="4" t="str">
        <x:f>IF(ISNUMBER(E70),"P"&amp;TEXT(E70,"000"),TRIM(E70))</x:f>
        <x:v>P058</x:v>
      </x:c>
      <x:c r="O70" s="4" t="n">
        <x:f>COUNTIFS(Products!$A$7:$A$66,N70)</x:f>
        <x:v>1</x:v>
      </x:c>
      <x:c r="P70" s="4" t="str">
        <x:f>IF(O70=0,"Unmatched",IF(O70&gt;1,"Ambiguous","Matched"))</x:f>
        <x:v>Matched</x:v>
      </x:c>
      <x:c r="Q70" s="4" t="str">
        <x:f>IF(O70&lt;&gt;1,P70,INDEX(Products!$C$7:$C$66,MATCH(N70,Products!$A$7:$A$66,0)))</x:f>
        <x:v>Electronics</x:v>
      </x:c>
    </x:row>
    <x:row r="71" ht="22" customHeight="1">
      <x:c r="A71" s="4" t="str">
        <x:v>L2025-009867</x:v>
      </x:c>
      <x:c r="B71" s="4" t="str">
        <x:v>O2025-03947</x:v>
      </x:c>
      <x:c r="C71" s="9" t="n">
        <x:v>45778</x:v>
      </x:c>
      <x:c r="D71" s="4" t="str">
        <x:v>S05</x:v>
      </x:c>
      <x:c r="E71" s="4" t="str">
        <x:v>P029</x:v>
      </x:c>
      <x:c r="F71" s="4" t="str">
        <x:f>IF(O71&lt;&gt;1,P71,_xlfn.XLOOKUP(N71,Products!$A$7:$A$66,Products!$B$7:$B$66,"Unmatched",0))</x:f>
        <x:v>Ruler</x:v>
      </x:c>
      <x:c r="G71" s="4" t="str">
        <x:f>IF(O71&lt;&gt;1,P71,_xlfn.XLOOKUP(N71,Products!$A$7:$A$66,Products!$C$7:$C$66,"Unmatched",0))</x:f>
        <x:v>Stationery</x:v>
      </x:c>
      <x:c r="H71" s="10" t="n">
        <x:v>2</x:v>
      </x:c>
      <x:c r="I71" s="11" t="n">
        <x:v>90</x:v>
      </x:c>
      <x:c r="J71" s="11" t="n">
        <x:v>27</x:v>
      </x:c>
      <x:c r="K71" s="11" t="n">
        <x:v>46.8</x:v>
      </x:c>
      <x:c r="L71" s="11" t="n">
        <x:v>180</x:v>
      </x:c>
      <x:c r="M71" s="11" t="n">
        <x:v>153</x:v>
      </x:c>
      <x:c r="N71" s="4" t="str">
        <x:f>IF(ISNUMBER(E71),"P"&amp;TEXT(E71,"000"),TRIM(E71))</x:f>
        <x:v>P029</x:v>
      </x:c>
      <x:c r="O71" s="4" t="n">
        <x:f>COUNTIFS(Products!$A$7:$A$66,N71)</x:f>
        <x:v>1</x:v>
      </x:c>
      <x:c r="P71" s="4" t="str">
        <x:f>IF(O71=0,"Unmatched",IF(O71&gt;1,"Ambiguous","Matched"))</x:f>
        <x:v>Matched</x:v>
      </x:c>
      <x:c r="Q71" s="4" t="str">
        <x:f>IF(O71&lt;&gt;1,P71,INDEX(Products!$C$7:$C$66,MATCH(N71,Products!$A$7:$A$66,0)))</x:f>
        <x:v>Stationery</x:v>
      </x:c>
    </x:row>
    <x:row r="72" ht="22" customHeight="1">
      <x:c r="A72" s="4" t="str">
        <x:v>L2025-010373</x:v>
      </x:c>
      <x:c r="B72" s="4" t="str">
        <x:v>O2025-04150</x:v>
      </x:c>
      <x:c r="C72" s="9" t="n">
        <x:v>45784</x:v>
      </x:c>
      <x:c r="D72" s="4" t="str">
        <x:v>S05</x:v>
      </x:c>
      <x:c r="E72" s="4" t="str">
        <x:v>P055</x:v>
      </x:c>
      <x:c r="F72" s="4" t="str">
        <x:f>IF(O72&lt;&gt;1,P72,_xlfn.XLOOKUP(N72,Products!$A$7:$A$66,Products!$B$7:$B$66,"Unmatched",0))</x:f>
        <x:v>Power bank</x:v>
      </x:c>
      <x:c r="G72" s="4" t="str">
        <x:f>IF(O72&lt;&gt;1,P72,_xlfn.XLOOKUP(N72,Products!$A$7:$A$66,Products!$C$7:$C$66,"Unmatched",0))</x:f>
        <x:v>Electronics</x:v>
      </x:c>
      <x:c r="H72" s="10" t="n">
        <x:v>2</x:v>
      </x:c>
      <x:c r="I72" s="11" t="n">
        <x:v>2750</x:v>
      </x:c>
      <x:c r="J72" s="11" t="n">
        <x:v>825</x:v>
      </x:c>
      <x:c r="K72" s="11" t="n">
        <x:v>2310</x:v>
      </x:c>
      <x:c r="L72" s="11" t="n">
        <x:v>5500</x:v>
      </x:c>
      <x:c r="M72" s="11" t="n">
        <x:v>4675</x:v>
      </x:c>
      <x:c r="N72" s="4" t="str">
        <x:f>IF(ISNUMBER(E72),"P"&amp;TEXT(E72,"000"),TRIM(E72))</x:f>
        <x:v>P055</x:v>
      </x:c>
      <x:c r="O72" s="4" t="n">
        <x:f>COUNTIFS(Products!$A$7:$A$66,N72)</x:f>
        <x:v>1</x:v>
      </x:c>
      <x:c r="P72" s="4" t="str">
        <x:f>IF(O72=0,"Unmatched",IF(O72&gt;1,"Ambiguous","Matched"))</x:f>
        <x:v>Matched</x:v>
      </x:c>
      <x:c r="Q72" s="4" t="str">
        <x:f>IF(O72&lt;&gt;1,P72,INDEX(Products!$C$7:$C$66,MATCH(N72,Products!$A$7:$A$66,0)))</x:f>
        <x:v>Electronics</x:v>
      </x:c>
    </x:row>
    <x:row r="73" ht="22" customHeight="1">
      <x:c r="A73" s="4" t="str">
        <x:v>L2025-010374</x:v>
      </x:c>
      <x:c r="B73" s="4" t="str">
        <x:v>O2025-04150</x:v>
      </x:c>
      <x:c r="C73" s="9" t="n">
        <x:v>45784</x:v>
      </x:c>
      <x:c r="D73" s="4" t="str">
        <x:v>S05</x:v>
      </x:c>
      <x:c r="E73" s="4" t="str">
        <x:v>P052</x:v>
      </x:c>
      <x:c r="F73" s="4" t="str">
        <x:f>IF(O73&lt;&gt;1,P73,_xlfn.XLOOKUP(N73,Products!$A$7:$A$66,Products!$B$7:$B$66,"Unmatched",0))</x:f>
        <x:v>USB hub</x:v>
      </x:c>
      <x:c r="G73" s="4" t="str">
        <x:f>IF(O73&lt;&gt;1,P73,_xlfn.XLOOKUP(N73,Products!$A$7:$A$66,Products!$C$7:$C$66,"Unmatched",0))</x:f>
        <x:v>Electronics</x:v>
      </x:c>
      <x:c r="H73" s="10" t="n">
        <x:v>4</x:v>
      </x:c>
      <x:c r="I73" s="11" t="n">
        <x:v>2000</x:v>
      </x:c>
      <x:c r="J73" s="11" t="n">
        <x:v>1600</x:v>
      </x:c>
      <x:c r="K73" s="11" t="n">
        <x:v>1680</x:v>
      </x:c>
      <x:c r="L73" s="11" t="n">
        <x:v>8000</x:v>
      </x:c>
      <x:c r="M73" s="11" t="n">
        <x:v>6400</x:v>
      </x:c>
      <x:c r="N73" s="4" t="str">
        <x:f>IF(ISNUMBER(E73),"P"&amp;TEXT(E73,"000"),TRIM(E73))</x:f>
        <x:v>P052</x:v>
      </x:c>
      <x:c r="O73" s="4" t="n">
        <x:f>COUNTIFS(Products!$A$7:$A$66,N73)</x:f>
        <x:v>1</x:v>
      </x:c>
      <x:c r="P73" s="4" t="str">
        <x:f>IF(O73=0,"Unmatched",IF(O73&gt;1,"Ambiguous","Matched"))</x:f>
        <x:v>Matched</x:v>
      </x:c>
      <x:c r="Q73" s="4" t="str">
        <x:f>IF(O73&lt;&gt;1,P73,INDEX(Products!$C$7:$C$66,MATCH(N73,Products!$A$7:$A$66,0)))</x:f>
        <x:v>Electronics</x:v>
      </x:c>
    </x:row>
    <x:row r="74" ht="22" customHeight="1">
      <x:c r="A74" s="4" t="str">
        <x:v>L2025-010375</x:v>
      </x:c>
      <x:c r="B74" s="4" t="str">
        <x:v>O2025-04150</x:v>
      </x:c>
      <x:c r="C74" s="9" t="n">
        <x:v>45784</x:v>
      </x:c>
      <x:c r="D74" s="4" t="str">
        <x:v>S05</x:v>
      </x:c>
      <x:c r="E74" s="4" t="str">
        <x:v>P053</x:v>
      </x:c>
      <x:c r="F74" s="4" t="str">
        <x:f>IF(O74&lt;&gt;1,P74,_xlfn.XLOOKUP(N74,Products!$A$7:$A$66,Products!$B$7:$B$66,"Unmatched",0))</x:f>
        <x:v>Desk light</x:v>
      </x:c>
      <x:c r="G74" s="4" t="str">
        <x:f>IF(O74&lt;&gt;1,P74,_xlfn.XLOOKUP(N74,Products!$A$7:$A$66,Products!$C$7:$C$66,"Unmatched",0))</x:f>
        <x:v>Electronics</x:v>
      </x:c>
      <x:c r="H74" s="10" t="n">
        <x:v>1</x:v>
      </x:c>
      <x:c r="I74" s="11" t="n">
        <x:v>2250</x:v>
      </x:c>
      <x:c r="J74" s="11" t="n">
        <x:v>337.5</x:v>
      </x:c>
      <x:c r="K74" s="11" t="n">
        <x:v>1890</x:v>
      </x:c>
      <x:c r="L74" s="11" t="n">
        <x:v>2250</x:v>
      </x:c>
      <x:c r="M74" s="11" t="n">
        <x:v>1912.5</x:v>
      </x:c>
      <x:c r="N74" s="4" t="str">
        <x:f>IF(ISNUMBER(E74),"P"&amp;TEXT(E74,"000"),TRIM(E74))</x:f>
        <x:v>P053</x:v>
      </x:c>
      <x:c r="O74" s="4" t="n">
        <x:f>COUNTIFS(Products!$A$7:$A$66,N74)</x:f>
        <x:v>1</x:v>
      </x:c>
      <x:c r="P74" s="4" t="str">
        <x:f>IF(O74=0,"Unmatched",IF(O74&gt;1,"Ambiguous","Matched"))</x:f>
        <x:v>Matched</x:v>
      </x:c>
      <x:c r="Q74" s="4" t="str">
        <x:f>IF(O74&lt;&gt;1,P74,INDEX(Products!$C$7:$C$66,MATCH(N74,Products!$A$7:$A$66,0)))</x:f>
        <x:v>Electronics</x:v>
      </x:c>
    </x:row>
    <x:row r="75" ht="22" customHeight="1">
      <x:c r="A75" s="4" t="str">
        <x:v>L2025-010883</x:v>
      </x:c>
      <x:c r="B75" s="4" t="str">
        <x:v>O2025-04354</x:v>
      </x:c>
      <x:c r="C75" s="9" t="n">
        <x:v>45790</x:v>
      </x:c>
      <x:c r="D75" s="4" t="str">
        <x:v>WEB</x:v>
      </x:c>
      <x:c r="E75" s="4" t="str">
        <x:v>P039</x:v>
      </x:c>
      <x:c r="F75" s="4" t="str">
        <x:f>IF(O75&lt;&gt;1,P75,_xlfn.XLOOKUP(N75,Products!$A$7:$A$66,Products!$B$7:$B$66,"Unmatched",0))</x:f>
        <x:v>Hand wash</x:v>
      </x:c>
      <x:c r="G75" s="4" t="str">
        <x:f>IF(O75&lt;&gt;1,P75,_xlfn.XLOOKUP(N75,Products!$A$7:$A$66,Products!$C$7:$C$66,"Unmatched",0))</x:f>
        <x:v>Personal care</x:v>
      </x:c>
      <x:c r="H75" s="10" t="n">
        <x:v>2</x:v>
      </x:c>
      <x:c r="I75" s="11" t="n">
        <x:v>196</x:v>
      </x:c>
      <x:c r="J75" s="11" t="n">
        <x:v>58.8</x:v>
      </x:c>
      <x:c r="K75" s="11" t="n">
        <x:v>125.44</x:v>
      </x:c>
      <x:c r="L75" s="11" t="n">
        <x:v>392</x:v>
      </x:c>
      <x:c r="M75" s="11" t="n">
        <x:v>333.2</x:v>
      </x:c>
      <x:c r="N75" s="4" t="str">
        <x:f>IF(ISNUMBER(E75),"P"&amp;TEXT(E75,"000"),TRIM(E75))</x:f>
        <x:v>P039</x:v>
      </x:c>
      <x:c r="O75" s="4" t="n">
        <x:f>COUNTIFS(Products!$A$7:$A$66,N75)</x:f>
        <x:v>1</x:v>
      </x:c>
      <x:c r="P75" s="4" t="str">
        <x:f>IF(O75=0,"Unmatched",IF(O75&gt;1,"Ambiguous","Matched"))</x:f>
        <x:v>Matched</x:v>
      </x:c>
      <x:c r="Q75" s="4" t="str">
        <x:f>IF(O75&lt;&gt;1,P75,INDEX(Products!$C$7:$C$66,MATCH(N75,Products!$A$7:$A$66,0)))</x:f>
        <x:v>Personal care</x:v>
      </x:c>
    </x:row>
    <x:row r="76" ht="22" customHeight="1">
      <x:c r="A76" s="4" t="str">
        <x:v>L2025-010884</x:v>
      </x:c>
      <x:c r="B76" s="4" t="str">
        <x:v>O2025-04354</x:v>
      </x:c>
      <x:c r="C76" s="9" t="n">
        <x:v>45790</x:v>
      </x:c>
      <x:c r="D76" s="4" t="str">
        <x:v>WEB</x:v>
      </x:c>
      <x:c r="E76" s="4" t="str">
        <x:v>P024</x:v>
      </x:c>
      <x:c r="F76" s="4" t="str">
        <x:f>IF(O76&lt;&gt;1,P76,_xlfn.XLOOKUP(N76,Products!$A$7:$A$66,Products!$B$7:$B$66,"Unmatched",0))</x:f>
        <x:v>Laundry stand</x:v>
      </x:c>
      <x:c r="G76" s="4" t="str">
        <x:f>IF(O76&lt;&gt;1,P76,_xlfn.XLOOKUP(N76,Products!$A$7:$A$66,Products!$C$7:$C$66,"Unmatched",0))</x:f>
        <x:v>Home care</x:v>
      </x:c>
      <x:c r="H76" s="10" t="n">
        <x:v>4</x:v>
      </x:c>
      <x:c r="I76" s="11" t="n">
        <x:v>384</x:v>
      </x:c>
      <x:c r="J76" s="11" t="n">
        <x:v>0</x:v>
      </x:c>
      <x:c r="K76" s="11" t="n">
        <x:v>238.08</x:v>
      </x:c>
      <x:c r="L76" s="11" t="n">
        <x:v>1536</x:v>
      </x:c>
      <x:c r="M76" s="11" t="n">
        <x:v>1536</x:v>
      </x:c>
      <x:c r="N76" s="4" t="str">
        <x:f>IF(ISNUMBER(E76),"P"&amp;TEXT(E76,"000"),TRIM(E76))</x:f>
        <x:v>P024</x:v>
      </x:c>
      <x:c r="O76" s="4" t="n">
        <x:f>COUNTIFS(Products!$A$7:$A$66,N76)</x:f>
        <x:v>1</x:v>
      </x:c>
      <x:c r="P76" s="4" t="str">
        <x:f>IF(O76=0,"Unmatched",IF(O76&gt;1,"Ambiguous","Matched"))</x:f>
        <x:v>Matched</x:v>
      </x:c>
      <x:c r="Q76" s="4" t="str">
        <x:f>IF(O76&lt;&gt;1,P76,INDEX(Products!$C$7:$C$66,MATCH(N76,Products!$A$7:$A$66,0)))</x:f>
        <x:v>Home care</x:v>
      </x:c>
    </x:row>
    <x:row r="77" ht="22" customHeight="1">
      <x:c r="A77" s="4" t="str">
        <x:v>L2025-010885</x:v>
      </x:c>
      <x:c r="B77" s="4" t="str">
        <x:v>O2025-04354</x:v>
      </x:c>
      <x:c r="C77" s="9" t="n">
        <x:v>45790</x:v>
      </x:c>
      <x:c r="D77" s="4" t="str">
        <x:v>WEB</x:v>
      </x:c>
      <x:c r="E77" s="4" t="str">
        <x:v>P054</x:v>
      </x:c>
      <x:c r="F77" s="4" t="str">
        <x:f>IF(O77&lt;&gt;1,P77,_xlfn.XLOOKUP(N77,Products!$A$7:$A$66,Products!$B$7:$B$66,"Unmatched",0))</x:f>
        <x:v>Earphones</x:v>
      </x:c>
      <x:c r="G77" s="4" t="str">
        <x:f>IF(O77&lt;&gt;1,P77,_xlfn.XLOOKUP(N77,Products!$A$7:$A$66,Products!$C$7:$C$66,"Unmatched",0))</x:f>
        <x:v>Electronics</x:v>
      </x:c>
      <x:c r="H77" s="10" t="n">
        <x:v>4</x:v>
      </x:c>
      <x:c r="I77" s="11" t="n">
        <x:v>2500</x:v>
      </x:c>
      <x:c r="J77" s="11" t="n">
        <x:v>1500</x:v>
      </x:c>
      <x:c r="K77" s="11" t="n">
        <x:v>2100</x:v>
      </x:c>
      <x:c r="L77" s="11" t="n">
        <x:v>10000</x:v>
      </x:c>
      <x:c r="M77" s="11" t="n">
        <x:v>8500</x:v>
      </x:c>
      <x:c r="N77" s="4" t="str">
        <x:f>IF(ISNUMBER(E77),"P"&amp;TEXT(E77,"000"),TRIM(E77))</x:f>
        <x:v>P054</x:v>
      </x:c>
      <x:c r="O77" s="4" t="n">
        <x:f>COUNTIFS(Products!$A$7:$A$66,N77)</x:f>
        <x:v>1</x:v>
      </x:c>
      <x:c r="P77" s="4" t="str">
        <x:f>IF(O77=0,"Unmatched",IF(O77&gt;1,"Ambiguous","Matched"))</x:f>
        <x:v>Matched</x:v>
      </x:c>
      <x:c r="Q77" s="4" t="str">
        <x:f>IF(O77&lt;&gt;1,P77,INDEX(Products!$C$7:$C$66,MATCH(N77,Products!$A$7:$A$66,0)))</x:f>
        <x:v>Electronics</x:v>
      </x:c>
    </x:row>
    <x:row r="78" ht="22" customHeight="1">
      <x:c r="A78" s="4" t="str">
        <x:v>L2025-011391</x:v>
      </x:c>
      <x:c r="B78" s="4" t="str">
        <x:v>O2025-04557</x:v>
      </x:c>
      <x:c r="C78" s="9" t="n">
        <x:v>45796</x:v>
      </x:c>
      <x:c r="D78" s="4" t="str">
        <x:v>S05</x:v>
      </x:c>
      <x:c r="E78" s="4" t="str">
        <x:v>P022</x:v>
      </x:c>
      <x:c r="F78" s="4" t="str">
        <x:f>IF(O78&lt;&gt;1,P78,_xlfn.XLOOKUP(N78,Products!$A$7:$A$66,Products!$B$7:$B$66,"Unmatched",0))</x:f>
        <x:v>Shoe rack</x:v>
      </x:c>
      <x:c r="G78" s="4" t="str">
        <x:f>IF(O78&lt;&gt;1,P78,_xlfn.XLOOKUP(N78,Products!$A$7:$A$66,Products!$C$7:$C$66,"Unmatched",0))</x:f>
        <x:v>Home care</x:v>
      </x:c>
      <x:c r="H78" s="10" t="n">
        <x:v>1</x:v>
      </x:c>
      <x:c r="I78" s="11" t="n">
        <x:v>336</x:v>
      </x:c>
      <x:c r="J78" s="11" t="n">
        <x:v>16.8</x:v>
      </x:c>
      <x:c r="K78" s="11" t="n">
        <x:v>208.32</x:v>
      </x:c>
      <x:c r="L78" s="11" t="n">
        <x:v>336</x:v>
      </x:c>
      <x:c r="M78" s="11" t="n">
        <x:v>319.2</x:v>
      </x:c>
      <x:c r="N78" s="4" t="str">
        <x:f>IF(ISNUMBER(E78),"P"&amp;TEXT(E78,"000"),TRIM(E78))</x:f>
        <x:v>P022</x:v>
      </x:c>
      <x:c r="O78" s="4" t="n">
        <x:f>COUNTIFS(Products!$A$7:$A$66,N78)</x:f>
        <x:v>1</x:v>
      </x:c>
      <x:c r="P78" s="4" t="str">
        <x:f>IF(O78=0,"Unmatched",IF(O78&gt;1,"Ambiguous","Matched"))</x:f>
        <x:v>Matched</x:v>
      </x:c>
      <x:c r="Q78" s="4" t="str">
        <x:f>IF(O78&lt;&gt;1,P78,INDEX(Products!$C$7:$C$66,MATCH(N78,Products!$A$7:$A$66,0)))</x:f>
        <x:v>Home care</x:v>
      </x:c>
    </x:row>
    <x:row r="79" ht="22" customHeight="1">
      <x:c r="A79" s="4" t="str">
        <x:v>L2025-011392</x:v>
      </x:c>
      <x:c r="B79" s="4" t="str">
        <x:v>O2025-04557</x:v>
      </x:c>
      <x:c r="C79" s="9" t="n">
        <x:v>45796</x:v>
      </x:c>
      <x:c r="D79" s="4" t="str">
        <x:v>S05</x:v>
      </x:c>
      <x:c r="E79" s="4" t="str">
        <x:v>P030</x:v>
      </x:c>
      <x:c r="F79" s="4" t="str">
        <x:f>IF(O79&lt;&gt;1,P79,_xlfn.XLOOKUP(N79,Products!$A$7:$A$66,Products!$B$7:$B$66,"Unmatched",0))</x:f>
        <x:v>Folder</x:v>
      </x:c>
      <x:c r="G79" s="4" t="str">
        <x:f>IF(O79&lt;&gt;1,P79,_xlfn.XLOOKUP(N79,Products!$A$7:$A$66,Products!$C$7:$C$66,"Unmatched",0))</x:f>
        <x:v>Stationery</x:v>
      </x:c>
      <x:c r="H79" s="10" t="n">
        <x:v>1</x:v>
      </x:c>
      <x:c r="I79" s="11" t="n">
        <x:v>100</x:v>
      </x:c>
      <x:c r="J79" s="11" t="n">
        <x:v>5</x:v>
      </x:c>
      <x:c r="K79" s="11" t="n">
        <x:v>52</x:v>
      </x:c>
      <x:c r="L79" s="11" t="n">
        <x:v>100</x:v>
      </x:c>
      <x:c r="M79" s="11" t="n">
        <x:v>95</x:v>
      </x:c>
      <x:c r="N79" s="4" t="str">
        <x:f>IF(ISNUMBER(E79),"P"&amp;TEXT(E79,"000"),TRIM(E79))</x:f>
        <x:v>P030</x:v>
      </x:c>
      <x:c r="O79" s="4" t="n">
        <x:f>COUNTIFS(Products!$A$7:$A$66,N79)</x:f>
        <x:v>1</x:v>
      </x:c>
      <x:c r="P79" s="4" t="str">
        <x:f>IF(O79=0,"Unmatched",IF(O79&gt;1,"Ambiguous","Matched"))</x:f>
        <x:v>Matched</x:v>
      </x:c>
      <x:c r="Q79" s="4" t="str">
        <x:f>IF(O79&lt;&gt;1,P79,INDEX(Products!$C$7:$C$66,MATCH(N79,Products!$A$7:$A$66,0)))</x:f>
        <x:v>Stationery</x:v>
      </x:c>
    </x:row>
    <x:row r="80" ht="22" customHeight="1">
      <x:c r="A80" s="4" t="str">
        <x:v>L2025-011901</x:v>
      </x:c>
      <x:c r="B80" s="4" t="str">
        <x:v>O2025-04761</x:v>
      </x:c>
      <x:c r="C80" s="9" t="n">
        <x:v>45802</x:v>
      </x:c>
      <x:c r="D80" s="4" t="str">
        <x:v>WEB</x:v>
      </x:c>
      <x:c r="E80" s="4" t="str">
        <x:v>P048</x:v>
      </x:c>
      <x:c r="F80" s="4" t="str">
        <x:f>IF(O80&lt;&gt;1,P80,_xlfn.XLOOKUP(N80,Products!$A$7:$A$66,Products!$B$7:$B$66,"Unmatched",0))</x:f>
        <x:v>Bath towel</x:v>
      </x:c>
      <x:c r="G80" s="4" t="str">
        <x:f>IF(O80&lt;&gt;1,P80,_xlfn.XLOOKUP(N80,Products!$A$7:$A$66,Products!$C$7:$C$66,"Unmatched",0))</x:f>
        <x:v>Personal care</x:v>
      </x:c>
      <x:c r="H80" s="10" t="n">
        <x:v>5</x:v>
      </x:c>
      <x:c r="I80" s="11" t="n">
        <x:v>448</x:v>
      </x:c>
      <x:c r="J80" s="11" t="n">
        <x:v>112</x:v>
      </x:c>
      <x:c r="K80" s="11" t="n">
        <x:v>286.72</x:v>
      </x:c>
      <x:c r="L80" s="11" t="n">
        <x:v>2240</x:v>
      </x:c>
      <x:c r="M80" s="11" t="n">
        <x:v>2128</x:v>
      </x:c>
      <x:c r="N80" s="4" t="str">
        <x:f>IF(ISNUMBER(E80),"P"&amp;TEXT(E80,"000"),TRIM(E80))</x:f>
        <x:v>P048</x:v>
      </x:c>
      <x:c r="O80" s="4" t="n">
        <x:f>COUNTIFS(Products!$A$7:$A$66,N80)</x:f>
        <x:v>1</x:v>
      </x:c>
      <x:c r="P80" s="4" t="str">
        <x:f>IF(O80=0,"Unmatched",IF(O80&gt;1,"Ambiguous","Matched"))</x:f>
        <x:v>Matched</x:v>
      </x:c>
      <x:c r="Q80" s="4" t="str">
        <x:f>IF(O80&lt;&gt;1,P80,INDEX(Products!$C$7:$C$66,MATCH(N80,Products!$A$7:$A$66,0)))</x:f>
        <x:v>Personal care</x:v>
      </x:c>
    </x:row>
    <x:row r="81" ht="22" customHeight="1">
      <x:c r="A81" s="4" t="str">
        <x:v>L2025-011902</x:v>
      </x:c>
      <x:c r="B81" s="4" t="str">
        <x:v>O2025-04761</x:v>
      </x:c>
      <x:c r="C81" s="9" t="n">
        <x:v>45802</x:v>
      </x:c>
      <x:c r="D81" s="4" t="str">
        <x:v>WEB</x:v>
      </x:c>
      <x:c r="E81" s="4" t="str">
        <x:v>P027</x:v>
      </x:c>
      <x:c r="F81" s="4" t="str">
        <x:f>IF(O81&lt;&gt;1,P81,_xlfn.XLOOKUP(N81,Products!$A$7:$A$66,Products!$B$7:$B$66,"Unmatched",0))</x:f>
        <x:v>Pencil pack</x:v>
      </x:c>
      <x:c r="G81" s="4" t="str">
        <x:f>IF(O81&lt;&gt;1,P81,_xlfn.XLOOKUP(N81,Products!$A$7:$A$66,Products!$C$7:$C$66,"Unmatched",0))</x:f>
        <x:v>Stationery</x:v>
      </x:c>
      <x:c r="H81" s="10" t="n">
        <x:v>1</x:v>
      </x:c>
      <x:c r="I81" s="11" t="n">
        <x:v>70</x:v>
      </x:c>
      <x:c r="J81" s="11" t="n">
        <x:v>3.5</x:v>
      </x:c>
      <x:c r="K81" s="11" t="n">
        <x:v>36.4</x:v>
      </x:c>
      <x:c r="L81" s="11" t="n">
        <x:v>70</x:v>
      </x:c>
      <x:c r="M81" s="11" t="n">
        <x:v>66.5</x:v>
      </x:c>
      <x:c r="N81" s="4" t="str">
        <x:f>IF(ISNUMBER(E81),"P"&amp;TEXT(E81,"000"),TRIM(E81))</x:f>
        <x:v>P027</x:v>
      </x:c>
      <x:c r="O81" s="4" t="n">
        <x:f>COUNTIFS(Products!$A$7:$A$66,N81)</x:f>
        <x:v>1</x:v>
      </x:c>
      <x:c r="P81" s="4" t="str">
        <x:f>IF(O81=0,"Unmatched",IF(O81&gt;1,"Ambiguous","Matched"))</x:f>
        <x:v>Matched</x:v>
      </x:c>
      <x:c r="Q81" s="4" t="str">
        <x:f>IF(O81&lt;&gt;1,P81,INDEX(Products!$C$7:$C$66,MATCH(N81,Products!$A$7:$A$66,0)))</x:f>
        <x:v>Stationery</x:v>
      </x:c>
    </x:row>
    <x:row r="82" ht="22" customHeight="1">
      <x:c r="A82" s="4" t="str">
        <x:v>L2025-012411</x:v>
      </x:c>
      <x:c r="B82" s="4" t="str">
        <x:v>O2025-04965</x:v>
      </x:c>
      <x:c r="C82" s="9" t="n">
        <x:v>45808</x:v>
      </x:c>
      <x:c r="D82" s="4" t="str">
        <x:v>S03</x:v>
      </x:c>
      <x:c r="E82" s="4" t="str">
        <x:v>P018</x:v>
      </x:c>
      <x:c r="F82" s="4" t="str">
        <x:f>IF(O82&lt;&gt;1,P82,_xlfn.XLOOKUP(N82,Products!$A$7:$A$66,Products!$B$7:$B$66,"Unmatched",0))</x:f>
        <x:v>Storage basket</x:v>
      </x:c>
      <x:c r="G82" s="4" t="str">
        <x:f>IF(O82&lt;&gt;1,P82,_xlfn.XLOOKUP(N82,Products!$A$7:$A$66,Products!$C$7:$C$66,"Unmatched",0))</x:f>
        <x:v>Home care</x:v>
      </x:c>
      <x:c r="H82" s="10" t="n">
        <x:v>5</x:v>
      </x:c>
      <x:c r="I82" s="11" t="n">
        <x:v>240</x:v>
      </x:c>
      <x:c r="J82" s="11" t="n">
        <x:v>240</x:v>
      </x:c>
      <x:c r="K82" s="11" t="n">
        <x:v>148.8</x:v>
      </x:c>
      <x:c r="L82" s="11" t="n">
        <x:v>1200</x:v>
      </x:c>
      <x:c r="M82" s="11" t="n">
        <x:v>960</x:v>
      </x:c>
      <x:c r="N82" s="4" t="str">
        <x:f>IF(ISNUMBER(E82),"P"&amp;TEXT(E82,"000"),TRIM(E82))</x:f>
        <x:v>P018</x:v>
      </x:c>
      <x:c r="O82" s="4" t="n">
        <x:f>COUNTIFS(Products!$A$7:$A$66,N82)</x:f>
        <x:v>1</x:v>
      </x:c>
      <x:c r="P82" s="4" t="str">
        <x:f>IF(O82=0,"Unmatched",IF(O82&gt;1,"Ambiguous","Matched"))</x:f>
        <x:v>Matched</x:v>
      </x:c>
      <x:c r="Q82" s="4" t="str">
        <x:f>IF(O82&lt;&gt;1,P82,INDEX(Products!$C$7:$C$66,MATCH(N82,Products!$A$7:$A$66,0)))</x:f>
        <x:v>Home care</x:v>
      </x:c>
    </x:row>
    <x:row r="83" ht="22" customHeight="1">
      <x:c r="A83" s="4" t="str">
        <x:v>L2025-012412</x:v>
      </x:c>
      <x:c r="B83" s="4" t="str">
        <x:v>O2025-04965</x:v>
      </x:c>
      <x:c r="C83" s="9" t="n">
        <x:v>45808</x:v>
      </x:c>
      <x:c r="D83" s="4" t="str">
        <x:v>S03</x:v>
      </x:c>
      <x:c r="E83" s="4" t="str">
        <x:v>P048</x:v>
      </x:c>
      <x:c r="F83" s="4" t="str">
        <x:f>IF(O83&lt;&gt;1,P83,_xlfn.XLOOKUP(N83,Products!$A$7:$A$66,Products!$B$7:$B$66,"Unmatched",0))</x:f>
        <x:v>Bath towel</x:v>
      </x:c>
      <x:c r="G83" s="4" t="str">
        <x:f>IF(O83&lt;&gt;1,P83,_xlfn.XLOOKUP(N83,Products!$A$7:$A$66,Products!$C$7:$C$66,"Unmatched",0))</x:f>
        <x:v>Personal care</x:v>
      </x:c>
      <x:c r="H83" s="10" t="n">
        <x:v>1</x:v>
      </x:c>
      <x:c r="I83" s="11" t="n">
        <x:v>448</x:v>
      </x:c>
      <x:c r="J83" s="11" t="n">
        <x:v>44.8</x:v>
      </x:c>
      <x:c r="K83" s="11" t="n">
        <x:v>286.72</x:v>
      </x:c>
      <x:c r="L83" s="11" t="n">
        <x:v>448</x:v>
      </x:c>
      <x:c r="M83" s="11" t="n">
        <x:v>403.2</x:v>
      </x:c>
      <x:c r="N83" s="4" t="str">
        <x:f>IF(ISNUMBER(E83),"P"&amp;TEXT(E83,"000"),TRIM(E83))</x:f>
        <x:v>P048</x:v>
      </x:c>
      <x:c r="O83" s="4" t="n">
        <x:f>COUNTIFS(Products!$A$7:$A$66,N83)</x:f>
        <x:v>1</x:v>
      </x:c>
      <x:c r="P83" s="4" t="str">
        <x:f>IF(O83=0,"Unmatched",IF(O83&gt;1,"Ambiguous","Matched"))</x:f>
        <x:v>Matched</x:v>
      </x:c>
      <x:c r="Q83" s="4" t="str">
        <x:f>IF(O83&lt;&gt;1,P83,INDEX(Products!$C$7:$C$66,MATCH(N83,Products!$A$7:$A$66,0)))</x:f>
        <x:v>Personal care</x:v>
      </x:c>
    </x:row>
    <x:row r="84" ht="22" customHeight="1">
      <x:c r="A84" s="4" t="str">
        <x:v>L2025-012413</x:v>
      </x:c>
      <x:c r="B84" s="4" t="str">
        <x:v>O2025-04966</x:v>
      </x:c>
      <x:c r="C84" s="9" t="n">
        <x:v>45809</x:v>
      </x:c>
      <x:c r="D84" s="4" t="str">
        <x:v>S03</x:v>
      </x:c>
      <x:c r="E84" s="4" t="str">
        <x:v>P011</x:v>
      </x:c>
      <x:c r="F84" s="4" t="str">
        <x:f>IF(O84&lt;&gt;1,P84,_xlfn.XLOOKUP(N84,Products!$A$7:$A$66,Products!$B$7:$B$66,"Unmatched",0))</x:f>
        <x:v>Pan</x:v>
      </x:c>
      <x:c r="G84" s="4" t="str">
        <x:f>IF(O84&lt;&gt;1,P84,_xlfn.XLOOKUP(N84,Products!$A$7:$A$66,Products!$C$7:$C$66,"Unmatched",0))</x:f>
        <x:v>Kitchen</x:v>
      </x:c>
      <x:c r="H84" s="10" t="n">
        <x:v>5</x:v>
      </x:c>
      <x:c r="I84" s="11" t="n">
        <x:v>540</x:v>
      </x:c>
      <x:c r="J84" s="11" t="n">
        <x:v>0</x:v>
      </x:c>
      <x:c r="K84" s="11" t="n">
        <x:v>324</x:v>
      </x:c>
      <x:c r="L84" s="11" t="n">
        <x:v>2700</x:v>
      </x:c>
      <x:c r="M84" s="11" t="n">
        <x:v>2700</x:v>
      </x:c>
      <x:c r="N84" s="4" t="str">
        <x:f>IF(ISNUMBER(E84),"P"&amp;TEXT(E84,"000"),TRIM(E84))</x:f>
        <x:v>P011</x:v>
      </x:c>
      <x:c r="O84" s="4" t="n">
        <x:f>COUNTIFS(Products!$A$7:$A$66,N84)</x:f>
        <x:v>1</x:v>
      </x:c>
      <x:c r="P84" s="4" t="str">
        <x:f>IF(O84=0,"Unmatched",IF(O84&gt;1,"Ambiguous","Matched"))</x:f>
        <x:v>Matched</x:v>
      </x:c>
      <x:c r="Q84" s="4" t="str">
        <x:f>IF(O84&lt;&gt;1,P84,INDEX(Products!$C$7:$C$66,MATCH(N84,Products!$A$7:$A$66,0)))</x:f>
        <x:v>Kitchen</x:v>
      </x:c>
    </x:row>
    <x:row r="85" ht="22" customHeight="1">
      <x:c r="A85" s="4" t="str">
        <x:v>L2025-012414</x:v>
      </x:c>
      <x:c r="B85" s="4" t="str">
        <x:v>O2025-04966</x:v>
      </x:c>
      <x:c r="C85" s="9" t="n">
        <x:v>45809</x:v>
      </x:c>
      <x:c r="D85" s="4" t="str">
        <x:v>S03</x:v>
      </x:c>
      <x:c r="E85" s="4" t="str">
        <x:v>P013</x:v>
      </x:c>
      <x:c r="F85" s="4" t="str">
        <x:f>IF(O85&lt;&gt;1,P85,_xlfn.XLOOKUP(N85,Products!$A$7:$A$66,Products!$B$7:$B$66,"Unmatched",0))</x:f>
        <x:v>Cleaning cloth</x:v>
      </x:c>
      <x:c r="G85" s="4" t="str">
        <x:f>IF(O85&lt;&gt;1,P85,_xlfn.XLOOKUP(N85,Products!$A$7:$A$66,Products!$C$7:$C$66,"Unmatched",0))</x:f>
        <x:v>Home care</x:v>
      </x:c>
      <x:c r="H85" s="10" t="n">
        <x:v>3</x:v>
      </x:c>
      <x:c r="I85" s="11" t="n">
        <x:v>120</x:v>
      </x:c>
      <x:c r="J85" s="11" t="n">
        <x:v>18</x:v>
      </x:c>
      <x:c r="K85" s="11" t="n">
        <x:v>74.4</x:v>
      </x:c>
      <x:c r="L85" s="11" t="n">
        <x:v>360</x:v>
      </x:c>
      <x:c r="M85" s="11" t="n">
        <x:v>342</x:v>
      </x:c>
      <x:c r="N85" s="4" t="str">
        <x:f>IF(ISNUMBER(E85),"P"&amp;TEXT(E85,"000"),TRIM(E85))</x:f>
        <x:v>P013</x:v>
      </x:c>
      <x:c r="O85" s="4" t="n">
        <x:f>COUNTIFS(Products!$A$7:$A$66,N85)</x:f>
        <x:v>1</x:v>
      </x:c>
      <x:c r="P85" s="4" t="str">
        <x:f>IF(O85=0,"Unmatched",IF(O85&gt;1,"Ambiguous","Matched"))</x:f>
        <x:v>Matched</x:v>
      </x:c>
      <x:c r="Q85" s="4" t="str">
        <x:f>IF(O85&lt;&gt;1,P85,INDEX(Products!$C$7:$C$66,MATCH(N85,Products!$A$7:$A$66,0)))</x:f>
        <x:v>Home care</x:v>
      </x:c>
    </x:row>
    <x:row r="86" ht="22" customHeight="1">
      <x:c r="A86" s="4" t="str">
        <x:v>L2025-012415</x:v>
      </x:c>
      <x:c r="B86" s="4" t="str">
        <x:v>O2025-04966</x:v>
      </x:c>
      <x:c r="C86" s="9" t="n">
        <x:v>45809</x:v>
      </x:c>
      <x:c r="D86" s="4" t="str">
        <x:v>S03</x:v>
      </x:c>
      <x:c r="E86" s="4" t="str">
        <x:v>P019</x:v>
      </x:c>
      <x:c r="F86" s="4" t="str">
        <x:f>IF(O86&lt;&gt;1,P86,_xlfn.XLOOKUP(N86,Products!$A$7:$A$66,Products!$B$7:$B$66,"Unmatched",0))</x:f>
        <x:v>Mop</x:v>
      </x:c>
      <x:c r="G86" s="4" t="str">
        <x:f>IF(O86&lt;&gt;1,P86,_xlfn.XLOOKUP(N86,Products!$A$7:$A$66,Products!$C$7:$C$66,"Unmatched",0))</x:f>
        <x:v>Home care</x:v>
      </x:c>
      <x:c r="H86" s="10" t="n">
        <x:v>5</x:v>
      </x:c>
      <x:c r="I86" s="11" t="n">
        <x:v>264</x:v>
      </x:c>
      <x:c r="J86" s="11" t="n">
        <x:v>0</x:v>
      </x:c>
      <x:c r="K86" s="11" t="n">
        <x:v>163.68</x:v>
      </x:c>
      <x:c r="L86" s="11" t="n">
        <x:v>1320</x:v>
      </x:c>
      <x:c r="M86" s="11" t="n">
        <x:v>1320</x:v>
      </x:c>
      <x:c r="N86" s="4" t="str">
        <x:f>IF(ISNUMBER(E86),"P"&amp;TEXT(E86,"000"),TRIM(E86))</x:f>
        <x:v>P019</x:v>
      </x:c>
      <x:c r="O86" s="4" t="n">
        <x:f>COUNTIFS(Products!$A$7:$A$66,N86)</x:f>
        <x:v>1</x:v>
      </x:c>
      <x:c r="P86" s="4" t="str">
        <x:f>IF(O86=0,"Unmatched",IF(O86&gt;1,"Ambiguous","Matched"))</x:f>
        <x:v>Matched</x:v>
      </x:c>
      <x:c r="Q86" s="4" t="str">
        <x:f>IF(O86&lt;&gt;1,P86,INDEX(Products!$C$7:$C$66,MATCH(N86,Products!$A$7:$A$66,0)))</x:f>
        <x:v>Home care</x:v>
      </x:c>
    </x:row>
    <x:row r="87" ht="22" customHeight="1">
      <x:c r="A87" s="4" t="str">
        <x:v>L2025-012903</x:v>
      </x:c>
      <x:c r="B87" s="4" t="str">
        <x:v>O2025-05162</x:v>
      </x:c>
      <x:c r="C87" s="9" t="n">
        <x:v>45814</x:v>
      </x:c>
      <x:c r="D87" s="4" t="str">
        <x:v>WEB</x:v>
      </x:c>
      <x:c r="E87" s="4" t="str">
        <x:v>P038</x:v>
      </x:c>
      <x:c r="F87" s="4" t="str">
        <x:f>IF(O87&lt;&gt;1,P87,_xlfn.XLOOKUP(N87,Products!$A$7:$A$66,Products!$B$7:$B$66,"Unmatched",0))</x:f>
        <x:v>Shampoo</x:v>
      </x:c>
      <x:c r="G87" s="4" t="str">
        <x:f>IF(O87&lt;&gt;1,P87,_xlfn.XLOOKUP(N87,Products!$A$7:$A$66,Products!$C$7:$C$66,"Unmatched",0))</x:f>
        <x:v>Personal care</x:v>
      </x:c>
      <x:c r="H87" s="10" t="n">
        <x:v>2</x:v>
      </x:c>
      <x:c r="I87" s="11" t="n">
        <x:v>168</x:v>
      </x:c>
      <x:c r="J87" s="11" t="n">
        <x:v>67.2</x:v>
      </x:c>
      <x:c r="K87" s="11" t="n">
        <x:v>107.52</x:v>
      </x:c>
      <x:c r="L87" s="11" t="n">
        <x:v>336</x:v>
      </x:c>
      <x:c r="M87" s="11" t="n">
        <x:v>268.8</x:v>
      </x:c>
      <x:c r="N87" s="4" t="str">
        <x:f>IF(ISNUMBER(E87),"P"&amp;TEXT(E87,"000"),TRIM(E87))</x:f>
        <x:v>P038</x:v>
      </x:c>
      <x:c r="O87" s="4" t="n">
        <x:f>COUNTIFS(Products!$A$7:$A$66,N87)</x:f>
        <x:v>1</x:v>
      </x:c>
      <x:c r="P87" s="4" t="str">
        <x:f>IF(O87=0,"Unmatched",IF(O87&gt;1,"Ambiguous","Matched"))</x:f>
        <x:v>Matched</x:v>
      </x:c>
      <x:c r="Q87" s="4" t="str">
        <x:f>IF(O87&lt;&gt;1,P87,INDEX(Products!$C$7:$C$66,MATCH(N87,Products!$A$7:$A$66,0)))</x:f>
        <x:v>Personal care</x:v>
      </x:c>
    </x:row>
    <x:row r="88" ht="22" customHeight="1">
      <x:c r="A88" s="4" t="str">
        <x:v>L2025-012904</x:v>
      </x:c>
      <x:c r="B88" s="4" t="str">
        <x:v>O2025-05162</x:v>
      </x:c>
      <x:c r="C88" s="9" t="n">
        <x:v>45814</x:v>
      </x:c>
      <x:c r="D88" s="4" t="str">
        <x:v>WEB</x:v>
      </x:c>
      <x:c r="E88" s="4" t="str">
        <x:v>P029</x:v>
      </x:c>
      <x:c r="F88" s="4" t="str">
        <x:f>IF(O88&lt;&gt;1,P88,_xlfn.XLOOKUP(N88,Products!$A$7:$A$66,Products!$B$7:$B$66,"Unmatched",0))</x:f>
        <x:v>Ruler</x:v>
      </x:c>
      <x:c r="G88" s="4" t="str">
        <x:f>IF(O88&lt;&gt;1,P88,_xlfn.XLOOKUP(N88,Products!$A$7:$A$66,Products!$C$7:$C$66,"Unmatched",0))</x:f>
        <x:v>Stationery</x:v>
      </x:c>
      <x:c r="H88" s="10" t="n">
        <x:v>5</x:v>
      </x:c>
      <x:c r="I88" s="11" t="n">
        <x:v>90</x:v>
      </x:c>
      <x:c r="J88" s="11" t="n">
        <x:v>67.5</x:v>
      </x:c>
      <x:c r="K88" s="11" t="n">
        <x:v>46.8</x:v>
      </x:c>
      <x:c r="L88" s="11" t="n">
        <x:v>450</x:v>
      </x:c>
      <x:c r="M88" s="11" t="n">
        <x:v>382.5</x:v>
      </x:c>
      <x:c r="N88" s="4" t="str">
        <x:f>IF(ISNUMBER(E88),"P"&amp;TEXT(E88,"000"),TRIM(E88))</x:f>
        <x:v>P029</x:v>
      </x:c>
      <x:c r="O88" s="4" t="n">
        <x:f>COUNTIFS(Products!$A$7:$A$66,N88)</x:f>
        <x:v>1</x:v>
      </x:c>
      <x:c r="P88" s="4" t="str">
        <x:f>IF(O88=0,"Unmatched",IF(O88&gt;1,"Ambiguous","Matched"))</x:f>
        <x:v>Matched</x:v>
      </x:c>
      <x:c r="Q88" s="4" t="str">
        <x:f>IF(O88&lt;&gt;1,P88,INDEX(Products!$C$7:$C$66,MATCH(N88,Products!$A$7:$A$66,0)))</x:f>
        <x:v>Stationery</x:v>
      </x:c>
    </x:row>
    <x:row r="89" ht="22" customHeight="1">
      <x:c r="A89" s="4" t="str">
        <x:v>L2025-012905</x:v>
      </x:c>
      <x:c r="B89" s="4" t="str">
        <x:v>O2025-05162</x:v>
      </x:c>
      <x:c r="C89" s="9" t="n">
        <x:v>45814</x:v>
      </x:c>
      <x:c r="D89" s="4" t="str">
        <x:v>WEB</x:v>
      </x:c>
      <x:c r="E89" s="4" t="str">
        <x:v>P051</x:v>
      </x:c>
      <x:c r="F89" s="4" t="str">
        <x:f>IF(O89&lt;&gt;1,P89,_xlfn.XLOOKUP(N89,Products!$A$7:$A$66,Products!$B$7:$B$66,"Unmatched",0))</x:f>
        <x:v>Keyboard</x:v>
      </x:c>
      <x:c r="G89" s="4" t="str">
        <x:f>IF(O89&lt;&gt;1,P89,_xlfn.XLOOKUP(N89,Products!$A$7:$A$66,Products!$C$7:$C$66,"Unmatched",0))</x:f>
        <x:v>Electronics</x:v>
      </x:c>
      <x:c r="H89" s="10" t="n">
        <x:v>5</x:v>
      </x:c>
      <x:c r="I89" s="11" t="n">
        <x:v>1750</x:v>
      </x:c>
      <x:c r="J89" s="11" t="n">
        <x:v>0</x:v>
      </x:c>
      <x:c r="K89" s="11" t="n">
        <x:v>1470</x:v>
      </x:c>
      <x:c r="L89" s="11" t="n">
        <x:v>8750</x:v>
      </x:c>
      <x:c r="M89" s="11" t="n">
        <x:v>8750</x:v>
      </x:c>
      <x:c r="N89" s="4" t="str">
        <x:f>IF(ISNUMBER(E89),"P"&amp;TEXT(E89,"000"),TRIM(E89))</x:f>
        <x:v>P051</x:v>
      </x:c>
      <x:c r="O89" s="4" t="n">
        <x:f>COUNTIFS(Products!$A$7:$A$66,N89)</x:f>
        <x:v>1</x:v>
      </x:c>
      <x:c r="P89" s="4" t="str">
        <x:f>IF(O89=0,"Unmatched",IF(O89&gt;1,"Ambiguous","Matched"))</x:f>
        <x:v>Matched</x:v>
      </x:c>
      <x:c r="Q89" s="4" t="str">
        <x:f>IF(O89&lt;&gt;1,P89,INDEX(Products!$C$7:$C$66,MATCH(N89,Products!$A$7:$A$66,0)))</x:f>
        <x:v>Electronics</x:v>
      </x:c>
    </x:row>
    <x:row r="90" ht="22" customHeight="1">
      <x:c r="A90" s="4" t="str">
        <x:v>L2025-013396</x:v>
      </x:c>
      <x:c r="B90" s="4" t="str">
        <x:v>O2025-05359</x:v>
      </x:c>
      <x:c r="C90" s="9" t="n">
        <x:v>45820</x:v>
      </x:c>
      <x:c r="D90" s="4" t="str">
        <x:v>S06</x:v>
      </x:c>
      <x:c r="E90" s="4" t="str">
        <x:v>P050</x:v>
      </x:c>
      <x:c r="F90" s="4" t="str">
        <x:f>IF(O90&lt;&gt;1,P90,_xlfn.XLOOKUP(N90,Products!$A$7:$A$66,Products!$B$7:$B$66,"Unmatched",0))</x:f>
        <x:v>Mouse</x:v>
      </x:c>
      <x:c r="G90" s="4" t="str">
        <x:f>IF(O90&lt;&gt;1,P90,_xlfn.XLOOKUP(N90,Products!$A$7:$A$66,Products!$C$7:$C$66,"Unmatched",0))</x:f>
        <x:v>Electronics</x:v>
      </x:c>
      <x:c r="H90" s="10" t="n">
        <x:v>2</x:v>
      </x:c>
      <x:c r="I90" s="11" t="n">
        <x:v>1500</x:v>
      </x:c>
      <x:c r="J90" s="11" t="n">
        <x:v>0</x:v>
      </x:c>
      <x:c r="K90" s="11" t="n">
        <x:v>1260</x:v>
      </x:c>
      <x:c r="L90" s="11" t="n">
        <x:v>3000</x:v>
      </x:c>
      <x:c r="M90" s="11" t="n">
        <x:v>3000</x:v>
      </x:c>
      <x:c r="N90" s="4" t="str">
        <x:f>IF(ISNUMBER(E90),"P"&amp;TEXT(E90,"000"),TRIM(E90))</x:f>
        <x:v>P050</x:v>
      </x:c>
      <x:c r="O90" s="4" t="n">
        <x:f>COUNTIFS(Products!$A$7:$A$66,N90)</x:f>
        <x:v>1</x:v>
      </x:c>
      <x:c r="P90" s="4" t="str">
        <x:f>IF(O90=0,"Unmatched",IF(O90&gt;1,"Ambiguous","Matched"))</x:f>
        <x:v>Matched</x:v>
      </x:c>
      <x:c r="Q90" s="4" t="str">
        <x:f>IF(O90&lt;&gt;1,P90,INDEX(Products!$C$7:$C$66,MATCH(N90,Products!$A$7:$A$66,0)))</x:f>
        <x:v>Electronics</x:v>
      </x:c>
    </x:row>
    <x:row r="91" ht="22" customHeight="1">
      <x:c r="A91" s="4" t="str">
        <x:v>L2025-013397</x:v>
      </x:c>
      <x:c r="B91" s="4" t="str">
        <x:v>O2025-05359</x:v>
      </x:c>
      <x:c r="C91" s="9" t="n">
        <x:v>45820</x:v>
      </x:c>
      <x:c r="D91" s="4" t="str">
        <x:v>S06</x:v>
      </x:c>
      <x:c r="E91" s="4" t="str">
        <x:v>P048</x:v>
      </x:c>
      <x:c r="F91" s="4" t="str">
        <x:f>IF(O91&lt;&gt;1,P91,_xlfn.XLOOKUP(N91,Products!$A$7:$A$66,Products!$B$7:$B$66,"Unmatched",0))</x:f>
        <x:v>Bath towel</x:v>
      </x:c>
      <x:c r="G91" s="4" t="str">
        <x:f>IF(O91&lt;&gt;1,P91,_xlfn.XLOOKUP(N91,Products!$A$7:$A$66,Products!$C$7:$C$66,"Unmatched",0))</x:f>
        <x:v>Personal care</x:v>
      </x:c>
      <x:c r="H91" s="10" t="n">
        <x:v>1</x:v>
      </x:c>
      <x:c r="I91" s="11" t="n">
        <x:v>448</x:v>
      </x:c>
      <x:c r="J91" s="11" t="n">
        <x:v>0</x:v>
      </x:c>
      <x:c r="K91" s="11" t="n">
        <x:v>286.72</x:v>
      </x:c>
      <x:c r="L91" s="11" t="n">
        <x:v>448</x:v>
      </x:c>
      <x:c r="M91" s="11" t="n">
        <x:v>448</x:v>
      </x:c>
      <x:c r="N91" s="4" t="str">
        <x:f>IF(ISNUMBER(E91),"P"&amp;TEXT(E91,"000"),TRIM(E91))</x:f>
        <x:v>P048</x:v>
      </x:c>
      <x:c r="O91" s="4" t="n">
        <x:f>COUNTIFS(Products!$A$7:$A$66,N91)</x:f>
        <x:v>1</x:v>
      </x:c>
      <x:c r="P91" s="4" t="str">
        <x:f>IF(O91=0,"Unmatched",IF(O91&gt;1,"Ambiguous","Matched"))</x:f>
        <x:v>Matched</x:v>
      </x:c>
      <x:c r="Q91" s="4" t="str">
        <x:f>IF(O91&lt;&gt;1,P91,INDEX(Products!$C$7:$C$66,MATCH(N91,Products!$A$7:$A$66,0)))</x:f>
        <x:v>Personal care</x:v>
      </x:c>
    </x:row>
    <x:row r="92" ht="22" customHeight="1">
      <x:c r="A92" s="4" t="str">
        <x:v>L2025-013888</x:v>
      </x:c>
      <x:c r="B92" s="4" t="str">
        <x:v>O2025-05556</x:v>
      </x:c>
      <x:c r="C92" s="9" t="n">
        <x:v>45826</x:v>
      </x:c>
      <x:c r="D92" s="4" t="str">
        <x:v>WEB</x:v>
      </x:c>
      <x:c r="E92" s="4" t="str">
        <x:v>P021</x:v>
      </x:c>
      <x:c r="F92" s="4" t="str">
        <x:f>IF(O92&lt;&gt;1,P92,_xlfn.XLOOKUP(N92,Products!$A$7:$A$66,Products!$B$7:$B$66,"Unmatched",0))</x:f>
        <x:v>Hanger set</x:v>
      </x:c>
      <x:c r="G92" s="4" t="str">
        <x:f>IF(O92&lt;&gt;1,P92,_xlfn.XLOOKUP(N92,Products!$A$7:$A$66,Products!$C$7:$C$66,"Unmatched",0))</x:f>
        <x:v>Home care</x:v>
      </x:c>
      <x:c r="H92" s="10" t="n">
        <x:v>5</x:v>
      </x:c>
      <x:c r="I92" s="11" t="n">
        <x:v>312</x:v>
      </x:c>
      <x:c r="J92" s="11" t="n">
        <x:v>312</x:v>
      </x:c>
      <x:c r="K92" s="11" t="n">
        <x:v>193.44</x:v>
      </x:c>
      <x:c r="L92" s="11" t="n">
        <x:v>1560</x:v>
      </x:c>
      <x:c r="M92" s="11" t="n">
        <x:v>1248</x:v>
      </x:c>
      <x:c r="N92" s="4" t="str">
        <x:f>IF(ISNUMBER(E92),"P"&amp;TEXT(E92,"000"),TRIM(E92))</x:f>
        <x:v>P021</x:v>
      </x:c>
      <x:c r="O92" s="4" t="n">
        <x:f>COUNTIFS(Products!$A$7:$A$66,N92)</x:f>
        <x:v>1</x:v>
      </x:c>
      <x:c r="P92" s="4" t="str">
        <x:f>IF(O92=0,"Unmatched",IF(O92&gt;1,"Ambiguous","Matched"))</x:f>
        <x:v>Matched</x:v>
      </x:c>
      <x:c r="Q92" s="4" t="str">
        <x:f>IF(O92&lt;&gt;1,P92,INDEX(Products!$C$7:$C$66,MATCH(N92,Products!$A$7:$A$66,0)))</x:f>
        <x:v>Home care</x:v>
      </x:c>
    </x:row>
    <x:row r="93" ht="22" customHeight="1">
      <x:c r="A93" s="4" t="str">
        <x:v>L2025-013889</x:v>
      </x:c>
      <x:c r="B93" s="4" t="str">
        <x:v>O2025-05556</x:v>
      </x:c>
      <x:c r="C93" s="9" t="n">
        <x:v>45826</x:v>
      </x:c>
      <x:c r="D93" s="4" t="str">
        <x:v>WEB</x:v>
      </x:c>
      <x:c r="E93" s="4" t="str">
        <x:v>P003</x:v>
      </x:c>
      <x:c r="F93" s="4" t="str">
        <x:f>IF(O93&lt;&gt;1,P93,_xlfn.XLOOKUP(N93,Products!$A$7:$A$66,Products!$B$7:$B$66,"Unmatched",0))</x:f>
        <x:v>Storage jar</x:v>
      </x:c>
      <x:c r="G93" s="4" t="str">
        <x:f>IF(O93&lt;&gt;1,P93,_xlfn.XLOOKUP(N93,Products!$A$7:$A$66,Products!$C$7:$C$66,"Unmatched",0))</x:f>
        <x:v>Kitchen</x:v>
      </x:c>
      <x:c r="H93" s="10" t="n">
        <x:v>5</x:v>
      </x:c>
      <x:c r="I93" s="11" t="n">
        <x:v>252</x:v>
      </x:c>
      <x:c r="J93" s="11" t="n">
        <x:v>0</x:v>
      </x:c>
      <x:c r="K93" s="11" t="n">
        <x:v>151.2</x:v>
      </x:c>
      <x:c r="L93" s="11" t="n">
        <x:v>1260</x:v>
      </x:c>
      <x:c r="M93" s="11" t="n">
        <x:v>1260</x:v>
      </x:c>
      <x:c r="N93" s="4" t="str">
        <x:f>IF(ISNUMBER(E93),"P"&amp;TEXT(E93,"000"),TRIM(E93))</x:f>
        <x:v>P003</x:v>
      </x:c>
      <x:c r="O93" s="4" t="n">
        <x:f>COUNTIFS(Products!$A$7:$A$66,N93)</x:f>
        <x:v>1</x:v>
      </x:c>
      <x:c r="P93" s="4" t="str">
        <x:f>IF(O93=0,"Unmatched",IF(O93&gt;1,"Ambiguous","Matched"))</x:f>
        <x:v>Matched</x:v>
      </x:c>
      <x:c r="Q93" s="4" t="str">
        <x:f>IF(O93&lt;&gt;1,P93,INDEX(Products!$C$7:$C$66,MATCH(N93,Products!$A$7:$A$66,0)))</x:f>
        <x:v>Kitchen</x:v>
      </x:c>
    </x:row>
    <x:row r="94" ht="22" customHeight="1">
      <x:c r="A94" s="4" t="str">
        <x:v>L2025-013890</x:v>
      </x:c>
      <x:c r="B94" s="4" t="str">
        <x:v>O2025-05556</x:v>
      </x:c>
      <x:c r="C94" s="9" t="n">
        <x:v>45826</x:v>
      </x:c>
      <x:c r="D94" s="4" t="str">
        <x:v>WEB</x:v>
      </x:c>
      <x:c r="E94" s="4" t="str">
        <x:v>P058</x:v>
      </x:c>
      <x:c r="F94" s="4" t="str">
        <x:f>IF(O94&lt;&gt;1,P94,_xlfn.XLOOKUP(N94,Products!$A$7:$A$66,Products!$B$7:$B$66,"Unmatched",0))</x:f>
        <x:v>Router</x:v>
      </x:c>
      <x:c r="G94" s="4" t="str">
        <x:f>IF(O94&lt;&gt;1,P94,_xlfn.XLOOKUP(N94,Products!$A$7:$A$66,Products!$C$7:$C$66,"Unmatched",0))</x:f>
        <x:v>Electronics</x:v>
      </x:c>
      <x:c r="H94" s="10" t="n">
        <x:v>4</x:v>
      </x:c>
      <x:c r="I94" s="11" t="n">
        <x:v>3500</x:v>
      </x:c>
      <x:c r="J94" s="11" t="n">
        <x:v>1400</x:v>
      </x:c>
      <x:c r="K94" s="11" t="n">
        <x:v>2940</x:v>
      </x:c>
      <x:c r="L94" s="11" t="n">
        <x:v>14000</x:v>
      </x:c>
      <x:c r="M94" s="11" t="n">
        <x:v>12600</x:v>
      </x:c>
      <x:c r="N94" s="4" t="str">
        <x:f>IF(ISNUMBER(E94),"P"&amp;TEXT(E94,"000"),TRIM(E94))</x:f>
        <x:v>P058</x:v>
      </x:c>
      <x:c r="O94" s="4" t="n">
        <x:f>COUNTIFS(Products!$A$7:$A$66,N94)</x:f>
        <x:v>1</x:v>
      </x:c>
      <x:c r="P94" s="4" t="str">
        <x:f>IF(O94=0,"Unmatched",IF(O94&gt;1,"Ambiguous","Matched"))</x:f>
        <x:v>Matched</x:v>
      </x:c>
      <x:c r="Q94" s="4" t="str">
        <x:f>IF(O94&lt;&gt;1,P94,INDEX(Products!$C$7:$C$66,MATCH(N94,Products!$A$7:$A$66,0)))</x:f>
        <x:v>Electronics</x:v>
      </x:c>
    </x:row>
    <x:row r="95" ht="22" customHeight="1">
      <x:c r="A95" s="4" t="str">
        <x:v>L2025-014381</x:v>
      </x:c>
      <x:c r="B95" s="4" t="str">
        <x:v>O2025-05753</x:v>
      </x:c>
      <x:c r="C95" s="9" t="n">
        <x:v>45832</x:v>
      </x:c>
      <x:c r="D95" s="4" t="str">
        <x:v>S06</x:v>
      </x:c>
      <x:c r="E95" s="4" t="str">
        <x:v>P013</x:v>
      </x:c>
      <x:c r="F95" s="4" t="str">
        <x:f>IF(O95&lt;&gt;1,P95,_xlfn.XLOOKUP(N95,Products!$A$7:$A$66,Products!$B$7:$B$66,"Unmatched",0))</x:f>
        <x:v>Cleaning cloth</x:v>
      </x:c>
      <x:c r="G95" s="4" t="str">
        <x:f>IF(O95&lt;&gt;1,P95,_xlfn.XLOOKUP(N95,Products!$A$7:$A$66,Products!$C$7:$C$66,"Unmatched",0))</x:f>
        <x:v>Home care</x:v>
      </x:c>
      <x:c r="H95" s="10" t="n">
        <x:v>3</x:v>
      </x:c>
      <x:c r="I95" s="11" t="n">
        <x:v>120</x:v>
      </x:c>
      <x:c r="J95" s="11" t="n">
        <x:v>36</x:v>
      </x:c>
      <x:c r="K95" s="11" t="n">
        <x:v>74.4</x:v>
      </x:c>
      <x:c r="L95" s="11" t="n">
        <x:v>360</x:v>
      </x:c>
      <x:c r="M95" s="11" t="n">
        <x:v>324</x:v>
      </x:c>
      <x:c r="N95" s="4" t="str">
        <x:f>IF(ISNUMBER(E95),"P"&amp;TEXT(E95,"000"),TRIM(E95))</x:f>
        <x:v>P013</x:v>
      </x:c>
      <x:c r="O95" s="4" t="n">
        <x:f>COUNTIFS(Products!$A$7:$A$66,N95)</x:f>
        <x:v>1</x:v>
      </x:c>
      <x:c r="P95" s="4" t="str">
        <x:f>IF(O95=0,"Unmatched",IF(O95&gt;1,"Ambiguous","Matched"))</x:f>
        <x:v>Matched</x:v>
      </x:c>
      <x:c r="Q95" s="4" t="str">
        <x:f>IF(O95&lt;&gt;1,P95,INDEX(Products!$C$7:$C$66,MATCH(N95,Products!$A$7:$A$66,0)))</x:f>
        <x:v>Home care</x:v>
      </x:c>
    </x:row>
    <x:row r="96" ht="22" customHeight="1">
      <x:c r="A96" s="4" t="str">
        <x:v>L2025-014382</x:v>
      </x:c>
      <x:c r="B96" s="4" t="str">
        <x:v>O2025-05753</x:v>
      </x:c>
      <x:c r="C96" s="9" t="n">
        <x:v>45832</x:v>
      </x:c>
      <x:c r="D96" s="4" t="str">
        <x:v>S06</x:v>
      </x:c>
      <x:c r="E96" s="4" t="str">
        <x:v>P045</x:v>
      </x:c>
      <x:c r="F96" s="4" t="str">
        <x:f>IF(O96&lt;&gt;1,P96,_xlfn.XLOOKUP(N96,Products!$A$7:$A$66,Products!$B$7:$B$66,"Unmatched",0))</x:f>
        <x:v>Hair oil</x:v>
      </x:c>
      <x:c r="G96" s="4" t="str">
        <x:f>IF(O96&lt;&gt;1,P96,_xlfn.XLOOKUP(N96,Products!$A$7:$A$66,Products!$C$7:$C$66,"Unmatched",0))</x:f>
        <x:v>Personal care</x:v>
      </x:c>
      <x:c r="H96" s="10" t="n">
        <x:v>5</x:v>
      </x:c>
      <x:c r="I96" s="11" t="n">
        <x:v>364</x:v>
      </x:c>
      <x:c r="J96" s="11" t="n">
        <x:v>364</x:v>
      </x:c>
      <x:c r="K96" s="11" t="n">
        <x:v>232.96</x:v>
      </x:c>
      <x:c r="L96" s="11" t="n">
        <x:v>1820</x:v>
      </x:c>
      <x:c r="M96" s="11" t="n">
        <x:v>1456</x:v>
      </x:c>
      <x:c r="N96" s="4" t="str">
        <x:f>IF(ISNUMBER(E96),"P"&amp;TEXT(E96,"000"),TRIM(E96))</x:f>
        <x:v>P045</x:v>
      </x:c>
      <x:c r="O96" s="4" t="n">
        <x:f>COUNTIFS(Products!$A$7:$A$66,N96)</x:f>
        <x:v>1</x:v>
      </x:c>
      <x:c r="P96" s="4" t="str">
        <x:f>IF(O96=0,"Unmatched",IF(O96&gt;1,"Ambiguous","Matched"))</x:f>
        <x:v>Matched</x:v>
      </x:c>
      <x:c r="Q96" s="4" t="str">
        <x:f>IF(O96&lt;&gt;1,P96,INDEX(Products!$C$7:$C$66,MATCH(N96,Products!$A$7:$A$66,0)))</x:f>
        <x:v>Personal care</x:v>
      </x:c>
    </x:row>
    <x:row r="97" ht="22" customHeight="1">
      <x:c r="A97" s="4" t="str">
        <x:v>L2025-014876</x:v>
      </x:c>
      <x:c r="B97" s="4" t="str">
        <x:v>O2025-05951</x:v>
      </x:c>
      <x:c r="C97" s="9" t="n">
        <x:v>45838</x:v>
      </x:c>
      <x:c r="D97" s="4" t="str">
        <x:v>WEB</x:v>
      </x:c>
      <x:c r="E97" s="4" t="str">
        <x:v>P034</x:v>
      </x:c>
      <x:c r="F97" s="4" t="str">
        <x:f>IF(O97&lt;&gt;1,P97,_xlfn.XLOOKUP(N97,Products!$A$7:$A$66,Products!$B$7:$B$66,"Unmatched",0))</x:f>
        <x:v>Desk tray</x:v>
      </x:c>
      <x:c r="G97" s="4" t="str">
        <x:f>IF(O97&lt;&gt;1,P97,_xlfn.XLOOKUP(N97,Products!$A$7:$A$66,Products!$C$7:$C$66,"Unmatched",0))</x:f>
        <x:v>Stationery</x:v>
      </x:c>
      <x:c r="H97" s="10" t="n">
        <x:v>3</x:v>
      </x:c>
      <x:c r="I97" s="11" t="n">
        <x:v>140</x:v>
      </x:c>
      <x:c r="J97" s="11" t="n">
        <x:v>84</x:v>
      </x:c>
      <x:c r="K97" s="11" t="n">
        <x:v>72.8</x:v>
      </x:c>
      <x:c r="L97" s="11" t="n">
        <x:v>420</x:v>
      </x:c>
      <x:c r="M97" s="11" t="n">
        <x:v>336</x:v>
      </x:c>
      <x:c r="N97" s="4" t="str">
        <x:f>IF(ISNUMBER(E97),"P"&amp;TEXT(E97,"000"),TRIM(E97))</x:f>
        <x:v>P034</x:v>
      </x:c>
      <x:c r="O97" s="4" t="n">
        <x:f>COUNTIFS(Products!$A$7:$A$66,N97)</x:f>
        <x:v>1</x:v>
      </x:c>
      <x:c r="P97" s="4" t="str">
        <x:f>IF(O97=0,"Unmatched",IF(O97&gt;1,"Ambiguous","Matched"))</x:f>
        <x:v>Matched</x:v>
      </x:c>
      <x:c r="Q97" s="4" t="str">
        <x:f>IF(O97&lt;&gt;1,P97,INDEX(Products!$C$7:$C$66,MATCH(N97,Products!$A$7:$A$66,0)))</x:f>
        <x:v>Stationery</x:v>
      </x:c>
    </x:row>
    <x:row r="98" ht="22" customHeight="1">
      <x:c r="A98" s="4" t="str">
        <x:v>L2025-014877</x:v>
      </x:c>
      <x:c r="B98" s="4" t="str">
        <x:v>O2025-05951</x:v>
      </x:c>
      <x:c r="C98" s="9" t="n">
        <x:v>45838</x:v>
      </x:c>
      <x:c r="D98" s="4" t="str">
        <x:v>WEB</x:v>
      </x:c>
      <x:c r="E98" s="4" t="str">
        <x:v>P054</x:v>
      </x:c>
      <x:c r="F98" s="4" t="str">
        <x:f>IF(O98&lt;&gt;1,P98,_xlfn.XLOOKUP(N98,Products!$A$7:$A$66,Products!$B$7:$B$66,"Unmatched",0))</x:f>
        <x:v>Earphones</x:v>
      </x:c>
      <x:c r="G98" s="4" t="str">
        <x:f>IF(O98&lt;&gt;1,P98,_xlfn.XLOOKUP(N98,Products!$A$7:$A$66,Products!$C$7:$C$66,"Unmatched",0))</x:f>
        <x:v>Electronics</x:v>
      </x:c>
      <x:c r="H98" s="10" t="n">
        <x:v>1</x:v>
      </x:c>
      <x:c r="I98" s="11" t="n">
        <x:v>2500</x:v>
      </x:c>
      <x:c r="J98" s="11" t="n">
        <x:v>375</x:v>
      </x:c>
      <x:c r="K98" s="11" t="n">
        <x:v>2100</x:v>
      </x:c>
      <x:c r="L98" s="11" t="n">
        <x:v>2500</x:v>
      </x:c>
      <x:c r="M98" s="11" t="n">
        <x:v>2125</x:v>
      </x:c>
      <x:c r="N98" s="4" t="str">
        <x:f>IF(ISNUMBER(E98),"P"&amp;TEXT(E98,"000"),TRIM(E98))</x:f>
        <x:v>P054</x:v>
      </x:c>
      <x:c r="O98" s="4" t="n">
        <x:f>COUNTIFS(Products!$A$7:$A$66,N98)</x:f>
        <x:v>1</x:v>
      </x:c>
      <x:c r="P98" s="4" t="str">
        <x:f>IF(O98=0,"Unmatched",IF(O98&gt;1,"Ambiguous","Matched"))</x:f>
        <x:v>Matched</x:v>
      </x:c>
      <x:c r="Q98" s="4" t="str">
        <x:f>IF(O98&lt;&gt;1,P98,INDEX(Products!$C$7:$C$66,MATCH(N98,Products!$A$7:$A$66,0)))</x:f>
        <x:v>Electronics</x:v>
      </x:c>
    </x:row>
    <x:row r="99" ht="22" customHeight="1">
      <x:c r="A99" s="4" t="str">
        <x:v>L2025-014878</x:v>
      </x:c>
      <x:c r="B99" s="4" t="str">
        <x:v>O2025-05952</x:v>
      </x:c>
      <x:c r="C99" s="9" t="n">
        <x:v>45839</x:v>
      </x:c>
      <x:c r="D99" s="4" t="str">
        <x:v>S01</x:v>
      </x:c>
      <x:c r="E99" s="4" t="str">
        <x:v>P028</x:v>
      </x:c>
      <x:c r="F99" s="4" t="str">
        <x:f>IF(O99&lt;&gt;1,P99,_xlfn.XLOOKUP(N99,Products!$A$7:$A$66,Products!$B$7:$B$66,"Unmatched",0))</x:f>
        <x:v>Eraser pack</x:v>
      </x:c>
      <x:c r="G99" s="4" t="str">
        <x:f>IF(O99&lt;&gt;1,P99,_xlfn.XLOOKUP(N99,Products!$A$7:$A$66,Products!$C$7:$C$66,"Unmatched",0))</x:f>
        <x:v>Stationery</x:v>
      </x:c>
      <x:c r="H99" s="10" t="n">
        <x:v>1</x:v>
      </x:c>
      <x:c r="I99" s="11" t="n">
        <x:v>80</x:v>
      </x:c>
      <x:c r="J99" s="11" t="n">
        <x:v>8</x:v>
      </x:c>
      <x:c r="K99" s="11" t="n">
        <x:v>41.6</x:v>
      </x:c>
      <x:c r="L99" s="11" t="n">
        <x:v>80</x:v>
      </x:c>
      <x:c r="M99" s="11" t="n">
        <x:v>72</x:v>
      </x:c>
      <x:c r="N99" s="4" t="str">
        <x:f>IF(ISNUMBER(E99),"P"&amp;TEXT(E99,"000"),TRIM(E99))</x:f>
        <x:v>P028</x:v>
      </x:c>
      <x:c r="O99" s="4" t="n">
        <x:f>COUNTIFS(Products!$A$7:$A$66,N99)</x:f>
        <x:v>1</x:v>
      </x:c>
      <x:c r="P99" s="4" t="str">
        <x:f>IF(O99=0,"Unmatched",IF(O99&gt;1,"Ambiguous","Matched"))</x:f>
        <x:v>Matched</x:v>
      </x:c>
      <x:c r="Q99" s="4" t="str">
        <x:f>IF(O99&lt;&gt;1,P99,INDEX(Products!$C$7:$C$66,MATCH(N99,Products!$A$7:$A$66,0)))</x:f>
        <x:v>Stationery</x:v>
      </x:c>
    </x:row>
    <x:row r="100" ht="22" customHeight="1">
      <x:c r="A100" s="4" t="str">
        <x:v>L2025-014879</x:v>
      </x:c>
      <x:c r="B100" s="4" t="str">
        <x:v>O2025-05952</x:v>
      </x:c>
      <x:c r="C100" s="9" t="n">
        <x:v>45839</x:v>
      </x:c>
      <x:c r="D100" s="4" t="str">
        <x:v>S01</x:v>
      </x:c>
      <x:c r="E100" s="4" t="str">
        <x:v>P012</x:v>
      </x:c>
      <x:c r="F100" s="4" t="str">
        <x:f>IF(O100&lt;&gt;1,P100,_xlfn.XLOOKUP(N100,Products!$A$7:$A$66,Products!$B$7:$B$66,"Unmatched",0))</x:f>
        <x:v>Kettle</x:v>
      </x:c>
      <x:c r="G100" s="4" t="str">
        <x:f>IF(O100&lt;&gt;1,P100,_xlfn.XLOOKUP(N100,Products!$A$7:$A$66,Products!$C$7:$C$66,"Unmatched",0))</x:f>
        <x:v>Kitchen</x:v>
      </x:c>
      <x:c r="H100" s="10" t="n">
        <x:v>3</x:v>
      </x:c>
      <x:c r="I100" s="11" t="n">
        <x:v>576</x:v>
      </x:c>
      <x:c r="J100" s="11" t="n">
        <x:v>0</x:v>
      </x:c>
      <x:c r="K100" s="11" t="n">
        <x:v>345.6</x:v>
      </x:c>
      <x:c r="L100" s="11" t="n">
        <x:v>1728</x:v>
      </x:c>
      <x:c r="M100" s="11" t="n">
        <x:v>1728</x:v>
      </x:c>
      <x:c r="N100" s="4" t="str">
        <x:f>IF(ISNUMBER(E100),"P"&amp;TEXT(E100,"000"),TRIM(E100))</x:f>
        <x:v>P012</x:v>
      </x:c>
      <x:c r="O100" s="4" t="n">
        <x:f>COUNTIFS(Products!$A$7:$A$66,N100)</x:f>
        <x:v>1</x:v>
      </x:c>
      <x:c r="P100" s="4" t="str">
        <x:f>IF(O100=0,"Unmatched",IF(O100&gt;1,"Ambiguous","Matched"))</x:f>
        <x:v>Matched</x:v>
      </x:c>
      <x:c r="Q100" s="4" t="str">
        <x:f>IF(O100&lt;&gt;1,P100,INDEX(Products!$C$7:$C$66,MATCH(N100,Products!$A$7:$A$66,0)))</x:f>
        <x:v>Kitchen</x:v>
      </x:c>
    </x:row>
    <x:row r="101" ht="22" customHeight="1">
      <x:c r="A101" s="4" t="str">
        <x:v>L2025-014880</x:v>
      </x:c>
      <x:c r="B101" s="4" t="str">
        <x:v>O2025-05952</x:v>
      </x:c>
      <x:c r="C101" s="9" t="n">
        <x:v>45839</x:v>
      </x:c>
      <x:c r="D101" s="4" t="str">
        <x:v>S01</x:v>
      </x:c>
      <x:c r="E101" s="4" t="str">
        <x:v>P040</x:v>
      </x:c>
      <x:c r="F101" s="4" t="str">
        <x:f>IF(O101&lt;&gt;1,P101,_xlfn.XLOOKUP(N101,Products!$A$7:$A$66,Products!$B$7:$B$66,"Unmatched",0))</x:f>
        <x:v>Toothbrush pack</x:v>
      </x:c>
      <x:c r="G101" s="4" t="str">
        <x:f>IF(O101&lt;&gt;1,P101,_xlfn.XLOOKUP(N101,Products!$A$7:$A$66,Products!$C$7:$C$66,"Unmatched",0))</x:f>
        <x:v>Personal care</x:v>
      </x:c>
      <x:c r="H101" s="10" t="n">
        <x:v>2</x:v>
      </x:c>
      <x:c r="I101" s="11" t="n">
        <x:v>224</x:v>
      </x:c>
      <x:c r="J101" s="11" t="n">
        <x:v>67.2</x:v>
      </x:c>
      <x:c r="K101" s="11" t="n">
        <x:v>143.36</x:v>
      </x:c>
      <x:c r="L101" s="11" t="n">
        <x:v>448</x:v>
      </x:c>
      <x:c r="M101" s="11" t="n">
        <x:v>380.8</x:v>
      </x:c>
      <x:c r="N101" s="4" t="str">
        <x:f>IF(ISNUMBER(E101),"P"&amp;TEXT(E101,"000"),TRIM(E101))</x:f>
        <x:v>P040</x:v>
      </x:c>
      <x:c r="O101" s="4" t="n">
        <x:f>COUNTIFS(Products!$A$7:$A$66,N101)</x:f>
        <x:v>1</x:v>
      </x:c>
      <x:c r="P101" s="4" t="str">
        <x:f>IF(O101=0,"Unmatched",IF(O101&gt;1,"Ambiguous","Matched"))</x:f>
        <x:v>Matched</x:v>
      </x:c>
      <x:c r="Q101" s="4" t="str">
        <x:f>IF(O101&lt;&gt;1,P101,INDEX(Products!$C$7:$C$66,MATCH(N101,Products!$A$7:$A$66,0)))</x:f>
        <x:v>Personal care</x:v>
      </x:c>
    </x:row>
    <x:row r="102" ht="22" customHeight="1">
      <x:c r="A102" s="4" t="str">
        <x:v>L2025-015386</x:v>
      </x:c>
      <x:c r="B102" s="4" t="str">
        <x:v>O2025-06155</x:v>
      </x:c>
      <x:c r="C102" s="9" t="n">
        <x:v>45845</x:v>
      </x:c>
      <x:c r="D102" s="4" t="str">
        <x:v>S03</x:v>
      </x:c>
      <x:c r="E102" s="4" t="str">
        <x:v>P022</x:v>
      </x:c>
      <x:c r="F102" s="4" t="str">
        <x:f>IF(O102&lt;&gt;1,P102,_xlfn.XLOOKUP(N102,Products!$A$7:$A$66,Products!$B$7:$B$66,"Unmatched",0))</x:f>
        <x:v>Shoe rack</x:v>
      </x:c>
      <x:c r="G102" s="4" t="str">
        <x:f>IF(O102&lt;&gt;1,P102,_xlfn.XLOOKUP(N102,Products!$A$7:$A$66,Products!$C$7:$C$66,"Unmatched",0))</x:f>
        <x:v>Home care</x:v>
      </x:c>
      <x:c r="H102" s="10" t="n">
        <x:v>1</x:v>
      </x:c>
      <x:c r="I102" s="11" t="n">
        <x:v>336</x:v>
      </x:c>
      <x:c r="J102" s="11" t="n">
        <x:v>50.4</x:v>
      </x:c>
      <x:c r="K102" s="11" t="n">
        <x:v>208.32</x:v>
      </x:c>
      <x:c r="L102" s="11" t="n">
        <x:v>336</x:v>
      </x:c>
      <x:c r="M102" s="11" t="n">
        <x:v>285.6</x:v>
      </x:c>
      <x:c r="N102" s="4" t="str">
        <x:f>IF(ISNUMBER(E102),"P"&amp;TEXT(E102,"000"),TRIM(E102))</x:f>
        <x:v>P022</x:v>
      </x:c>
      <x:c r="O102" s="4" t="n">
        <x:f>COUNTIFS(Products!$A$7:$A$66,N102)</x:f>
        <x:v>1</x:v>
      </x:c>
      <x:c r="P102" s="4" t="str">
        <x:f>IF(O102=0,"Unmatched",IF(O102&gt;1,"Ambiguous","Matched"))</x:f>
        <x:v>Matched</x:v>
      </x:c>
      <x:c r="Q102" s="4" t="str">
        <x:f>IF(O102&lt;&gt;1,P102,INDEX(Products!$C$7:$C$66,MATCH(N102,Products!$A$7:$A$66,0)))</x:f>
        <x:v>Home care</x:v>
      </x:c>
    </x:row>
    <x:row r="103" ht="22" customHeight="1">
      <x:c r="A103" s="4" t="str">
        <x:v>L2025-015387</x:v>
      </x:c>
      <x:c r="B103" s="4" t="str">
        <x:v>O2025-06155</x:v>
      </x:c>
      <x:c r="C103" s="9" t="n">
        <x:v>45845</x:v>
      </x:c>
      <x:c r="D103" s="4" t="str">
        <x:v>S03</x:v>
      </x:c>
      <x:c r="E103" s="4" t="str">
        <x:v>P056</x:v>
      </x:c>
      <x:c r="F103" s="4" t="str">
        <x:f>IF(O103&lt;&gt;1,P103,_xlfn.XLOOKUP(N103,Products!$A$7:$A$66,Products!$B$7:$B$66,"Unmatched",0))</x:f>
        <x:v>Speaker</x:v>
      </x:c>
      <x:c r="G103" s="4" t="str">
        <x:f>IF(O103&lt;&gt;1,P103,_xlfn.XLOOKUP(N103,Products!$A$7:$A$66,Products!$C$7:$C$66,"Unmatched",0))</x:f>
        <x:v>Electronics</x:v>
      </x:c>
      <x:c r="H103" s="10" t="n">
        <x:v>5</x:v>
      </x:c>
      <x:c r="I103" s="11" t="n">
        <x:v>3000</x:v>
      </x:c>
      <x:c r="J103" s="11" t="n">
        <x:v>0</x:v>
      </x:c>
      <x:c r="K103" s="11" t="n">
        <x:v>2520</x:v>
      </x:c>
      <x:c r="L103" s="11" t="n">
        <x:v>15000</x:v>
      </x:c>
      <x:c r="M103" s="11" t="n">
        <x:v>15000</x:v>
      </x:c>
      <x:c r="N103" s="4" t="str">
        <x:f>IF(ISNUMBER(E103),"P"&amp;TEXT(E103,"000"),TRIM(E103))</x:f>
        <x:v>P056</x:v>
      </x:c>
      <x:c r="O103" s="4" t="n">
        <x:f>COUNTIFS(Products!$A$7:$A$66,N103)</x:f>
        <x:v>1</x:v>
      </x:c>
      <x:c r="P103" s="4" t="str">
        <x:f>IF(O103=0,"Unmatched",IF(O103&gt;1,"Ambiguous","Matched"))</x:f>
        <x:v>Matched</x:v>
      </x:c>
      <x:c r="Q103" s="4" t="str">
        <x:f>IF(O103&lt;&gt;1,P103,INDEX(Products!$C$7:$C$66,MATCH(N103,Products!$A$7:$A$66,0)))</x:f>
        <x:v>Electronics</x:v>
      </x:c>
    </x:row>
    <x:row r="104" ht="22" customHeight="1">
      <x:c r="A104" s="4" t="str">
        <x:v>L2025-015896</x:v>
      </x:c>
      <x:c r="B104" s="4" t="str">
        <x:v>O2025-06359</x:v>
      </x:c>
      <x:c r="C104" s="9" t="n">
        <x:v>45851</x:v>
      </x:c>
      <x:c r="D104" s="4" t="str">
        <x:v>WEB</x:v>
      </x:c>
      <x:c r="E104" s="4" t="str">
        <x:v>P054</x:v>
      </x:c>
      <x:c r="F104" s="4" t="str">
        <x:f>IF(O104&lt;&gt;1,P104,_xlfn.XLOOKUP(N104,Products!$A$7:$A$66,Products!$B$7:$B$66,"Unmatched",0))</x:f>
        <x:v>Earphones</x:v>
      </x:c>
      <x:c r="G104" s="4" t="str">
        <x:f>IF(O104&lt;&gt;1,P104,_xlfn.XLOOKUP(N104,Products!$A$7:$A$66,Products!$C$7:$C$66,"Unmatched",0))</x:f>
        <x:v>Electronics</x:v>
      </x:c>
      <x:c r="H104" s="10" t="n">
        <x:v>3</x:v>
      </x:c>
      <x:c r="I104" s="11" t="n">
        <x:v>2500</x:v>
      </x:c>
      <x:c r="J104" s="11" t="n">
        <x:v>750</x:v>
      </x:c>
      <x:c r="K104" s="11" t="n">
        <x:v>2100</x:v>
      </x:c>
      <x:c r="L104" s="11" t="n">
        <x:v>7500</x:v>
      </x:c>
      <x:c r="M104" s="11" t="n">
        <x:v>6750</x:v>
      </x:c>
      <x:c r="N104" s="4" t="str">
        <x:f>IF(ISNUMBER(E104),"P"&amp;TEXT(E104,"000"),TRIM(E104))</x:f>
        <x:v>P054</x:v>
      </x:c>
      <x:c r="O104" s="4" t="n">
        <x:f>COUNTIFS(Products!$A$7:$A$66,N104)</x:f>
        <x:v>1</x:v>
      </x:c>
      <x:c r="P104" s="4" t="str">
        <x:f>IF(O104=0,"Unmatched",IF(O104&gt;1,"Ambiguous","Matched"))</x:f>
        <x:v>Matched</x:v>
      </x:c>
      <x:c r="Q104" s="4" t="str">
        <x:f>IF(O104&lt;&gt;1,P104,INDEX(Products!$C$7:$C$66,MATCH(N104,Products!$A$7:$A$66,0)))</x:f>
        <x:v>Electronics</x:v>
      </x:c>
    </x:row>
    <x:row r="105" ht="22" customHeight="1">
      <x:c r="A105" s="4" t="str">
        <x:v>L2025-015897</x:v>
      </x:c>
      <x:c r="B105" s="4" t="str">
        <x:v>O2025-06359</x:v>
      </x:c>
      <x:c r="C105" s="9" t="n">
        <x:v>45851</x:v>
      </x:c>
      <x:c r="D105" s="4" t="str">
        <x:v>WEB</x:v>
      </x:c>
      <x:c r="E105" s="4" t="str">
        <x:v>P027</x:v>
      </x:c>
      <x:c r="F105" s="4" t="str">
        <x:f>IF(O105&lt;&gt;1,P105,_xlfn.XLOOKUP(N105,Products!$A$7:$A$66,Products!$B$7:$B$66,"Unmatched",0))</x:f>
        <x:v>Pencil pack</x:v>
      </x:c>
      <x:c r="G105" s="4" t="str">
        <x:f>IF(O105&lt;&gt;1,P105,_xlfn.XLOOKUP(N105,Products!$A$7:$A$66,Products!$C$7:$C$66,"Unmatched",0))</x:f>
        <x:v>Stationery</x:v>
      </x:c>
      <x:c r="H105" s="10" t="n">
        <x:v>3</x:v>
      </x:c>
      <x:c r="I105" s="11" t="n">
        <x:v>70</x:v>
      </x:c>
      <x:c r="J105" s="11" t="n">
        <x:v>31.5</x:v>
      </x:c>
      <x:c r="K105" s="11" t="n">
        <x:v>36.4</x:v>
      </x:c>
      <x:c r="L105" s="11" t="n">
        <x:v>210</x:v>
      </x:c>
      <x:c r="M105" s="11" t="n">
        <x:v>178.5</x:v>
      </x:c>
      <x:c r="N105" s="4" t="str">
        <x:f>IF(ISNUMBER(E105),"P"&amp;TEXT(E105,"000"),TRIM(E105))</x:f>
        <x:v>P027</x:v>
      </x:c>
      <x:c r="O105" s="4" t="n">
        <x:f>COUNTIFS(Products!$A$7:$A$66,N105)</x:f>
        <x:v>1</x:v>
      </x:c>
      <x:c r="P105" s="4" t="str">
        <x:f>IF(O105=0,"Unmatched",IF(O105&gt;1,"Ambiguous","Matched"))</x:f>
        <x:v>Matched</x:v>
      </x:c>
      <x:c r="Q105" s="4" t="str">
        <x:f>IF(O105&lt;&gt;1,P105,INDEX(Products!$C$7:$C$66,MATCH(N105,Products!$A$7:$A$66,0)))</x:f>
        <x:v>Stationery</x:v>
      </x:c>
    </x:row>
    <x:row r="106" ht="22" customHeight="1">
      <x:c r="A106" s="4" t="str">
        <x:v>L2025-016406</x:v>
      </x:c>
      <x:c r="B106" s="4" t="str">
        <x:v>O2025-06563</x:v>
      </x:c>
      <x:c r="C106" s="9" t="n">
        <x:v>45857</x:v>
      </x:c>
      <x:c r="D106" s="4" t="str">
        <x:v>S03</x:v>
      </x:c>
      <x:c r="E106" s="4" t="str">
        <x:v>P035</x:v>
      </x:c>
      <x:c r="F106" s="4" t="str">
        <x:f>IF(O106&lt;&gt;1,P106,_xlfn.XLOOKUP(N106,Products!$A$7:$A$66,Products!$B$7:$B$66,"Unmatched",0))</x:f>
        <x:v>Planner</x:v>
      </x:c>
      <x:c r="G106" s="4" t="str">
        <x:f>IF(O106&lt;&gt;1,P106,_xlfn.XLOOKUP(N106,Products!$A$7:$A$66,Products!$C$7:$C$66,"Unmatched",0))</x:f>
        <x:v>Stationery</x:v>
      </x:c>
      <x:c r="H106" s="10" t="n">
        <x:v>1</x:v>
      </x:c>
      <x:c r="I106" s="11" t="n">
        <x:v>150</x:v>
      </x:c>
      <x:c r="J106" s="11" t="n">
        <x:v>15</x:v>
      </x:c>
      <x:c r="K106" s="11" t="n">
        <x:v>78</x:v>
      </x:c>
      <x:c r="L106" s="11" t="n">
        <x:v>150</x:v>
      </x:c>
      <x:c r="M106" s="11" t="n">
        <x:v>135</x:v>
      </x:c>
      <x:c r="N106" s="4" t="str">
        <x:f>IF(ISNUMBER(E106),"P"&amp;TEXT(E106,"000"),TRIM(E106))</x:f>
        <x:v>P035</x:v>
      </x:c>
      <x:c r="O106" s="4" t="n">
        <x:f>COUNTIFS(Products!$A$7:$A$66,N106)</x:f>
        <x:v>1</x:v>
      </x:c>
      <x:c r="P106" s="4" t="str">
        <x:f>IF(O106=0,"Unmatched",IF(O106&gt;1,"Ambiguous","Matched"))</x:f>
        <x:v>Matched</x:v>
      </x:c>
      <x:c r="Q106" s="4" t="str">
        <x:f>IF(O106&lt;&gt;1,P106,INDEX(Products!$C$7:$C$66,MATCH(N106,Products!$A$7:$A$66,0)))</x:f>
        <x:v>Stationery</x:v>
      </x:c>
    </x:row>
    <x:row r="107" ht="22" customHeight="1">
      <x:c r="A107" s="4" t="str">
        <x:v>L2025-016407</x:v>
      </x:c>
      <x:c r="B107" s="4" t="str">
        <x:v>O2025-06563</x:v>
      </x:c>
      <x:c r="C107" s="9" t="n">
        <x:v>45857</x:v>
      </x:c>
      <x:c r="D107" s="4" t="str">
        <x:v>S03</x:v>
      </x:c>
      <x:c r="E107" s="4" t="str">
        <x:v>P038</x:v>
      </x:c>
      <x:c r="F107" s="4" t="str">
        <x:f>IF(O107&lt;&gt;1,P107,_xlfn.XLOOKUP(N107,Products!$A$7:$A$66,Products!$B$7:$B$66,"Unmatched",0))</x:f>
        <x:v>Shampoo</x:v>
      </x:c>
      <x:c r="G107" s="4" t="str">
        <x:f>IF(O107&lt;&gt;1,P107,_xlfn.XLOOKUP(N107,Products!$A$7:$A$66,Products!$C$7:$C$66,"Unmatched",0))</x:f>
        <x:v>Personal care</x:v>
      </x:c>
      <x:c r="H107" s="10" t="n">
        <x:v>5</x:v>
      </x:c>
      <x:c r="I107" s="11" t="n">
        <x:v>168</x:v>
      </x:c>
      <x:c r="J107" s="11" t="n">
        <x:v>126</x:v>
      </x:c>
      <x:c r="K107" s="11" t="n">
        <x:v>107.52</x:v>
      </x:c>
      <x:c r="L107" s="11" t="n">
        <x:v>840</x:v>
      </x:c>
      <x:c r="M107" s="11" t="n">
        <x:v>714</x:v>
      </x:c>
      <x:c r="N107" s="4" t="str">
        <x:f>IF(ISNUMBER(E107),"P"&amp;TEXT(E107,"000"),TRIM(E107))</x:f>
        <x:v>P038</x:v>
      </x:c>
      <x:c r="O107" s="4" t="n">
        <x:f>COUNTIFS(Products!$A$7:$A$66,N107)</x:f>
        <x:v>1</x:v>
      </x:c>
      <x:c r="P107" s="4" t="str">
        <x:f>IF(O107=0,"Unmatched",IF(O107&gt;1,"Ambiguous","Matched"))</x:f>
        <x:v>Matched</x:v>
      </x:c>
      <x:c r="Q107" s="4" t="str">
        <x:f>IF(O107&lt;&gt;1,P107,INDEX(Products!$C$7:$C$66,MATCH(N107,Products!$A$7:$A$66,0)))</x:f>
        <x:v>Personal care</x:v>
      </x:c>
    </x:row>
    <x:row r="108" ht="22" customHeight="1">
      <x:c r="A108" s="4" t="str">
        <x:v>L2025-016916</x:v>
      </x:c>
      <x:c r="B108" s="4" t="str">
        <x:v>O2025-06767</x:v>
      </x:c>
      <x:c r="C108" s="9" t="n">
        <x:v>45863</x:v>
      </x:c>
      <x:c r="D108" s="4" t="str">
        <x:v>S06</x:v>
      </x:c>
      <x:c r="E108" s="4" t="str">
        <x:v>P058</x:v>
      </x:c>
      <x:c r="F108" s="4" t="str">
        <x:f>IF(O108&lt;&gt;1,P108,_xlfn.XLOOKUP(N108,Products!$A$7:$A$66,Products!$B$7:$B$66,"Unmatched",0))</x:f>
        <x:v>Router</x:v>
      </x:c>
      <x:c r="G108" s="4" t="str">
        <x:f>IF(O108&lt;&gt;1,P108,_xlfn.XLOOKUP(N108,Products!$A$7:$A$66,Products!$C$7:$C$66,"Unmatched",0))</x:f>
        <x:v>Electronics</x:v>
      </x:c>
      <x:c r="H108" s="10" t="n">
        <x:v>4</x:v>
      </x:c>
      <x:c r="I108" s="11" t="n">
        <x:v>3500</x:v>
      </x:c>
      <x:c r="J108" s="11" t="n">
        <x:v>2800</x:v>
      </x:c>
      <x:c r="K108" s="11" t="n">
        <x:v>2940</x:v>
      </x:c>
      <x:c r="L108" s="11" t="n">
        <x:v>14000</x:v>
      </x:c>
      <x:c r="M108" s="11" t="n">
        <x:v>11200</x:v>
      </x:c>
      <x:c r="N108" s="4" t="str">
        <x:f>IF(ISNUMBER(E108),"P"&amp;TEXT(E108,"000"),TRIM(E108))</x:f>
        <x:v>P058</x:v>
      </x:c>
      <x:c r="O108" s="4" t="n">
        <x:f>COUNTIFS(Products!$A$7:$A$66,N108)</x:f>
        <x:v>1</x:v>
      </x:c>
      <x:c r="P108" s="4" t="str">
        <x:f>IF(O108=0,"Unmatched",IF(O108&gt;1,"Ambiguous","Matched"))</x:f>
        <x:v>Matched</x:v>
      </x:c>
      <x:c r="Q108" s="4" t="str">
        <x:f>IF(O108&lt;&gt;1,P108,INDEX(Products!$C$7:$C$66,MATCH(N108,Products!$A$7:$A$66,0)))</x:f>
        <x:v>Electronics</x:v>
      </x:c>
    </x:row>
    <x:row r="109" ht="22" customHeight="1">
      <x:c r="A109" s="4" t="str">
        <x:v>L2025-016917</x:v>
      </x:c>
      <x:c r="B109" s="4" t="str">
        <x:v>O2025-06767</x:v>
      </x:c>
      <x:c r="C109" s="9" t="n">
        <x:v>45863</x:v>
      </x:c>
      <x:c r="D109" s="4" t="str">
        <x:v>S06</x:v>
      </x:c>
      <x:c r="E109" s="4" t="str">
        <x:v>P052</x:v>
      </x:c>
      <x:c r="F109" s="4" t="str">
        <x:f>IF(O109&lt;&gt;1,P109,_xlfn.XLOOKUP(N109,Products!$A$7:$A$66,Products!$B$7:$B$66,"Unmatched",0))</x:f>
        <x:v>USB hub</x:v>
      </x:c>
      <x:c r="G109" s="4" t="str">
        <x:f>IF(O109&lt;&gt;1,P109,_xlfn.XLOOKUP(N109,Products!$A$7:$A$66,Products!$C$7:$C$66,"Unmatched",0))</x:f>
        <x:v>Electronics</x:v>
      </x:c>
      <x:c r="H109" s="10" t="n">
        <x:v>4</x:v>
      </x:c>
      <x:c r="I109" s="11" t="n">
        <x:v>2000</x:v>
      </x:c>
      <x:c r="J109" s="11" t="n">
        <x:v>1600</x:v>
      </x:c>
      <x:c r="K109" s="11" t="n">
        <x:v>1680</x:v>
      </x:c>
      <x:c r="L109" s="11" t="n">
        <x:v>8000</x:v>
      </x:c>
      <x:c r="M109" s="11" t="n">
        <x:v>6400</x:v>
      </x:c>
      <x:c r="N109" s="4" t="str">
        <x:f>IF(ISNUMBER(E109),"P"&amp;TEXT(E109,"000"),TRIM(E109))</x:f>
        <x:v>P052</x:v>
      </x:c>
      <x:c r="O109" s="4" t="n">
        <x:f>COUNTIFS(Products!$A$7:$A$66,N109)</x:f>
        <x:v>1</x:v>
      </x:c>
      <x:c r="P109" s="4" t="str">
        <x:f>IF(O109=0,"Unmatched",IF(O109&gt;1,"Ambiguous","Matched"))</x:f>
        <x:v>Matched</x:v>
      </x:c>
      <x:c r="Q109" s="4" t="str">
        <x:f>IF(O109&lt;&gt;1,P109,INDEX(Products!$C$7:$C$66,MATCH(N109,Products!$A$7:$A$66,0)))</x:f>
        <x:v>Electronics</x:v>
      </x:c>
    </x:row>
    <x:row r="110" ht="22" customHeight="1">
      <x:c r="A110" s="4" t="str">
        <x:v>L2025-017423</x:v>
      </x:c>
      <x:c r="B110" s="4" t="str">
        <x:v>O2025-06970</x:v>
      </x:c>
      <x:c r="C110" s="9" t="n">
        <x:v>45869</x:v>
      </x:c>
      <x:c r="D110" s="4" t="str">
        <x:v>S05</x:v>
      </x:c>
      <x:c r="E110" s="4" t="str">
        <x:v>P059</x:v>
      </x:c>
      <x:c r="F110" s="4" t="str">
        <x:f>IF(O110&lt;&gt;1,P110,_xlfn.XLOOKUP(N110,Products!$A$7:$A$66,Products!$B$7:$B$66,"Unmatched",0))</x:f>
        <x:v>Monitor</x:v>
      </x:c>
      <x:c r="G110" s="4" t="str">
        <x:f>IF(O110&lt;&gt;1,P110,_xlfn.XLOOKUP(N110,Products!$A$7:$A$66,Products!$C$7:$C$66,"Unmatched",0))</x:f>
        <x:v>Electronics</x:v>
      </x:c>
      <x:c r="H110" s="10" t="n">
        <x:v>4</x:v>
      </x:c>
      <x:c r="I110" s="11" t="n">
        <x:v>3750</x:v>
      </x:c>
      <x:c r="J110" s="11" t="n">
        <x:v>750</x:v>
      </x:c>
      <x:c r="K110" s="11" t="n">
        <x:v>3150</x:v>
      </x:c>
      <x:c r="L110" s="11" t="n">
        <x:v>15000</x:v>
      </x:c>
      <x:c r="M110" s="11" t="n">
        <x:v>14250</x:v>
      </x:c>
      <x:c r="N110" s="4" t="str">
        <x:f>IF(ISNUMBER(E110),"P"&amp;TEXT(E110,"000"),TRIM(E110))</x:f>
        <x:v>P059</x:v>
      </x:c>
      <x:c r="O110" s="4" t="n">
        <x:f>COUNTIFS(Products!$A$7:$A$66,N110)</x:f>
        <x:v>1</x:v>
      </x:c>
      <x:c r="P110" s="4" t="str">
        <x:f>IF(O110=0,"Unmatched",IF(O110&gt;1,"Ambiguous","Matched"))</x:f>
        <x:v>Matched</x:v>
      </x:c>
      <x:c r="Q110" s="4" t="str">
        <x:f>IF(O110&lt;&gt;1,P110,INDEX(Products!$C$7:$C$66,MATCH(N110,Products!$A$7:$A$66,0)))</x:f>
        <x:v>Electronics</x:v>
      </x:c>
    </x:row>
    <x:row r="111" ht="22" customHeight="1">
      <x:c r="A111" s="4" t="str">
        <x:v>L2025-017424</x:v>
      </x:c>
      <x:c r="B111" s="4" t="str">
        <x:v>O2025-06970</x:v>
      </x:c>
      <x:c r="C111" s="9" t="n">
        <x:v>45869</x:v>
      </x:c>
      <x:c r="D111" s="4" t="str">
        <x:v>S05</x:v>
      </x:c>
      <x:c r="E111" s="4" t="str">
        <x:v>P048</x:v>
      </x:c>
      <x:c r="F111" s="4" t="str">
        <x:f>IF(O111&lt;&gt;1,P111,_xlfn.XLOOKUP(N111,Products!$A$7:$A$66,Products!$B$7:$B$66,"Unmatched",0))</x:f>
        <x:v>Bath towel</x:v>
      </x:c>
      <x:c r="G111" s="4" t="str">
        <x:f>IF(O111&lt;&gt;1,P111,_xlfn.XLOOKUP(N111,Products!$A$7:$A$66,Products!$C$7:$C$66,"Unmatched",0))</x:f>
        <x:v>Personal care</x:v>
      </x:c>
      <x:c r="H111" s="10" t="n">
        <x:v>1</x:v>
      </x:c>
      <x:c r="I111" s="11" t="n">
        <x:v>448</x:v>
      </x:c>
      <x:c r="J111" s="11" t="n">
        <x:v>44.8</x:v>
      </x:c>
      <x:c r="K111" s="11" t="n">
        <x:v>286.72</x:v>
      </x:c>
      <x:c r="L111" s="11" t="n">
        <x:v>448</x:v>
      </x:c>
      <x:c r="M111" s="11" t="n">
        <x:v>403.2</x:v>
      </x:c>
      <x:c r="N111" s="4" t="str">
        <x:f>IF(ISNUMBER(E111),"P"&amp;TEXT(E111,"000"),TRIM(E111))</x:f>
        <x:v>P048</x:v>
      </x:c>
      <x:c r="O111" s="4" t="n">
        <x:f>COUNTIFS(Products!$A$7:$A$66,N111)</x:f>
        <x:v>1</x:v>
      </x:c>
      <x:c r="P111" s="4" t="str">
        <x:f>IF(O111=0,"Unmatched",IF(O111&gt;1,"Ambiguous","Matched"))</x:f>
        <x:v>Matched</x:v>
      </x:c>
      <x:c r="Q111" s="4" t="str">
        <x:f>IF(O111&lt;&gt;1,P111,INDEX(Products!$C$7:$C$66,MATCH(N111,Products!$A$7:$A$66,0)))</x:f>
        <x:v>Personal care</x:v>
      </x:c>
    </x:row>
    <x:row r="112" ht="22" customHeight="1">
      <x:c r="A112" s="4" t="str">
        <x:v>L2025-017425</x:v>
      </x:c>
      <x:c r="B112" s="4" t="str">
        <x:v>O2025-06970</x:v>
      </x:c>
      <x:c r="C112" s="9" t="n">
        <x:v>45869</x:v>
      </x:c>
      <x:c r="D112" s="4" t="str">
        <x:v>S05</x:v>
      </x:c>
      <x:c r="E112" s="4" t="str">
        <x:v>P055</x:v>
      </x:c>
      <x:c r="F112" s="4" t="str">
        <x:f>IF(O112&lt;&gt;1,P112,_xlfn.XLOOKUP(N112,Products!$A$7:$A$66,Products!$B$7:$B$66,"Unmatched",0))</x:f>
        <x:v>Power bank</x:v>
      </x:c>
      <x:c r="G112" s="4" t="str">
        <x:f>IF(O112&lt;&gt;1,P112,_xlfn.XLOOKUP(N112,Products!$A$7:$A$66,Products!$C$7:$C$66,"Unmatched",0))</x:f>
        <x:v>Electronics</x:v>
      </x:c>
      <x:c r="H112" s="10" t="n">
        <x:v>2</x:v>
      </x:c>
      <x:c r="I112" s="11" t="n">
        <x:v>2750</x:v>
      </x:c>
      <x:c r="J112" s="11" t="n">
        <x:v>550</x:v>
      </x:c>
      <x:c r="K112" s="11" t="n">
        <x:v>2310</x:v>
      </x:c>
      <x:c r="L112" s="11" t="n">
        <x:v>5500</x:v>
      </x:c>
      <x:c r="M112" s="11" t="n">
        <x:v>4950</x:v>
      </x:c>
      <x:c r="N112" s="4" t="str">
        <x:f>IF(ISNUMBER(E112),"P"&amp;TEXT(E112,"000"),TRIM(E112))</x:f>
        <x:v>P055</x:v>
      </x:c>
      <x:c r="O112" s="4" t="n">
        <x:f>COUNTIFS(Products!$A$7:$A$66,N112)</x:f>
        <x:v>1</x:v>
      </x:c>
      <x:c r="P112" s="4" t="str">
        <x:f>IF(O112=0,"Unmatched",IF(O112&gt;1,"Ambiguous","Matched"))</x:f>
        <x:v>Matched</x:v>
      </x:c>
      <x:c r="Q112" s="4" t="str">
        <x:f>IF(O112&lt;&gt;1,P112,INDEX(Products!$C$7:$C$66,MATCH(N112,Products!$A$7:$A$66,0)))</x:f>
        <x:v>Electronics</x:v>
      </x:c>
    </x:row>
    <x:row r="113" ht="22" customHeight="1">
      <x:c r="A113" s="4" t="str">
        <x:v>L2025-017428</x:v>
      </x:c>
      <x:c r="B113" s="4" t="str">
        <x:v>O2025-06972</x:v>
      </x:c>
      <x:c r="C113" s="9" t="n">
        <x:v>45870</x:v>
      </x:c>
      <x:c r="D113" s="4" t="str">
        <x:v>WEB</x:v>
      </x:c>
      <x:c r="E113" s="4" t="str">
        <x:v>P054</x:v>
      </x:c>
      <x:c r="F113" s="4" t="str">
        <x:f>IF(O113&lt;&gt;1,P113,_xlfn.XLOOKUP(N113,Products!$A$7:$A$66,Products!$B$7:$B$66,"Unmatched",0))</x:f>
        <x:v>Earphones</x:v>
      </x:c>
      <x:c r="G113" s="4" t="str">
        <x:f>IF(O113&lt;&gt;1,P113,_xlfn.XLOOKUP(N113,Products!$A$7:$A$66,Products!$C$7:$C$66,"Unmatched",0))</x:f>
        <x:v>Electronics</x:v>
      </x:c>
      <x:c r="H113" s="10" t="n">
        <x:v>3</x:v>
      </x:c>
      <x:c r="I113" s="11" t="n">
        <x:v>2500</x:v>
      </x:c>
      <x:c r="J113" s="11" t="n">
        <x:v>1500</x:v>
      </x:c>
      <x:c r="K113" s="11" t="n">
        <x:v>2100</x:v>
      </x:c>
      <x:c r="L113" s="11" t="n">
        <x:v>7500</x:v>
      </x:c>
      <x:c r="M113" s="11" t="n">
        <x:v>6000</x:v>
      </x:c>
      <x:c r="N113" s="4" t="str">
        <x:f>IF(ISNUMBER(E113),"P"&amp;TEXT(E113,"000"),TRIM(E113))</x:f>
        <x:v>P054</x:v>
      </x:c>
      <x:c r="O113" s="4" t="n">
        <x:f>COUNTIFS(Products!$A$7:$A$66,N113)</x:f>
        <x:v>1</x:v>
      </x:c>
      <x:c r="P113" s="4" t="str">
        <x:f>IF(O113=0,"Unmatched",IF(O113&gt;1,"Ambiguous","Matched"))</x:f>
        <x:v>Matched</x:v>
      </x:c>
      <x:c r="Q113" s="4" t="str">
        <x:f>IF(O113&lt;&gt;1,P113,INDEX(Products!$C$7:$C$66,MATCH(N113,Products!$A$7:$A$66,0)))</x:f>
        <x:v>Electronics</x:v>
      </x:c>
    </x:row>
    <x:row r="114" ht="22" customHeight="1">
      <x:c r="A114" s="4" t="str">
        <x:v>L2025-017429</x:v>
      </x:c>
      <x:c r="B114" s="4" t="str">
        <x:v>O2025-06972</x:v>
      </x:c>
      <x:c r="C114" s="9" t="n">
        <x:v>45870</x:v>
      </x:c>
      <x:c r="D114" s="4" t="str">
        <x:v>WEB</x:v>
      </x:c>
      <x:c r="E114" s="4" t="str">
        <x:v>P046</x:v>
      </x:c>
      <x:c r="F114" s="4" t="str">
        <x:f>IF(O114&lt;&gt;1,P114,_xlfn.XLOOKUP(N114,Products!$A$7:$A$66,Products!$B$7:$B$66,"Unmatched",0))</x:f>
        <x:v>Sunscreen</x:v>
      </x:c>
      <x:c r="G114" s="4" t="str">
        <x:f>IF(O114&lt;&gt;1,P114,_xlfn.XLOOKUP(N114,Products!$A$7:$A$66,Products!$C$7:$C$66,"Unmatched",0))</x:f>
        <x:v>Personal care</x:v>
      </x:c>
      <x:c r="H114" s="10" t="n">
        <x:v>3</x:v>
      </x:c>
      <x:c r="I114" s="11" t="n">
        <x:v>392</x:v>
      </x:c>
      <x:c r="J114" s="11" t="n">
        <x:v>235.2</x:v>
      </x:c>
      <x:c r="K114" s="11" t="n">
        <x:v>250.88</x:v>
      </x:c>
      <x:c r="L114" s="11" t="n">
        <x:v>1176</x:v>
      </x:c>
      <x:c r="M114" s="11" t="n">
        <x:v>940.8</x:v>
      </x:c>
      <x:c r="N114" s="4" t="str">
        <x:f>IF(ISNUMBER(E114),"P"&amp;TEXT(E114,"000"),TRIM(E114))</x:f>
        <x:v>P046</x:v>
      </x:c>
      <x:c r="O114" s="4" t="n">
        <x:f>COUNTIFS(Products!$A$7:$A$66,N114)</x:f>
        <x:v>1</x:v>
      </x:c>
      <x:c r="P114" s="4" t="str">
        <x:f>IF(O114=0,"Unmatched",IF(O114&gt;1,"Ambiguous","Matched"))</x:f>
        <x:v>Matched</x:v>
      </x:c>
      <x:c r="Q114" s="4" t="str">
        <x:f>IF(O114&lt;&gt;1,P114,INDEX(Products!$C$7:$C$66,MATCH(N114,Products!$A$7:$A$66,0)))</x:f>
        <x:v>Personal care</x:v>
      </x:c>
    </x:row>
    <x:row r="115" ht="22" customHeight="1">
      <x:c r="A115" s="4" t="str">
        <x:v>L2025-017430</x:v>
      </x:c>
      <x:c r="B115" s="4" t="str">
        <x:v>O2025-06972</x:v>
      </x:c>
      <x:c r="C115" s="9" t="n">
        <x:v>45870</x:v>
      </x:c>
      <x:c r="D115" s="4" t="str">
        <x:v>WEB</x:v>
      </x:c>
      <x:c r="E115" s="4" t="str">
        <x:v>P021</x:v>
      </x:c>
      <x:c r="F115" s="4" t="str">
        <x:f>IF(O115&lt;&gt;1,P115,_xlfn.XLOOKUP(N115,Products!$A$7:$A$66,Products!$B$7:$B$66,"Unmatched",0))</x:f>
        <x:v>Hanger set</x:v>
      </x:c>
      <x:c r="G115" s="4" t="str">
        <x:f>IF(O115&lt;&gt;1,P115,_xlfn.XLOOKUP(N115,Products!$A$7:$A$66,Products!$C$7:$C$66,"Unmatched",0))</x:f>
        <x:v>Home care</x:v>
      </x:c>
      <x:c r="H115" s="10" t="n">
        <x:v>4</x:v>
      </x:c>
      <x:c r="I115" s="11" t="n">
        <x:v>312</x:v>
      </x:c>
      <x:c r="J115" s="11" t="n">
        <x:v>0</x:v>
      </x:c>
      <x:c r="K115" s="11" t="n">
        <x:v>193.44</x:v>
      </x:c>
      <x:c r="L115" s="11" t="n">
        <x:v>1248</x:v>
      </x:c>
      <x:c r="M115" s="11" t="n">
        <x:v>1248</x:v>
      </x:c>
      <x:c r="N115" s="4" t="str">
        <x:f>IF(ISNUMBER(E115),"P"&amp;TEXT(E115,"000"),TRIM(E115))</x:f>
        <x:v>P021</x:v>
      </x:c>
      <x:c r="O115" s="4" t="n">
        <x:f>COUNTIFS(Products!$A$7:$A$66,N115)</x:f>
        <x:v>1</x:v>
      </x:c>
      <x:c r="P115" s="4" t="str">
        <x:f>IF(O115=0,"Unmatched",IF(O115&gt;1,"Ambiguous","Matched"))</x:f>
        <x:v>Matched</x:v>
      </x:c>
      <x:c r="Q115" s="4" t="str">
        <x:f>IF(O115&lt;&gt;1,P115,INDEX(Products!$C$7:$C$66,MATCH(N115,Products!$A$7:$A$66,0)))</x:f>
        <x:v>Home care</x:v>
      </x:c>
    </x:row>
    <x:row r="116" ht="22" customHeight="1">
      <x:c r="A116" s="4" t="str">
        <x:v>L2025-017933</x:v>
      </x:c>
      <x:c r="B116" s="4" t="str">
        <x:v>O2025-07174</x:v>
      </x:c>
      <x:c r="C116" s="9" t="n">
        <x:v>45876</x:v>
      </x:c>
      <x:c r="D116" s="4" t="str">
        <x:v>S02</x:v>
      </x:c>
      <x:c r="E116" s="4" t="str">
        <x:v>P004</x:v>
      </x:c>
      <x:c r="F116" s="4" t="str">
        <x:f>IF(O116&lt;&gt;1,P116,_xlfn.XLOOKUP(N116,Products!$A$7:$A$66,Products!$B$7:$B$66,"Unmatched",0))</x:f>
        <x:v>Serving bowl</x:v>
      </x:c>
      <x:c r="G116" s="4" t="str">
        <x:f>IF(O116&lt;&gt;1,P116,_xlfn.XLOOKUP(N116,Products!$A$7:$A$66,Products!$C$7:$C$66,"Unmatched",0))</x:f>
        <x:v>Kitchen</x:v>
      </x:c>
      <x:c r="H116" s="10" t="n">
        <x:v>3</x:v>
      </x:c>
      <x:c r="I116" s="11" t="n">
        <x:v>288</x:v>
      </x:c>
      <x:c r="J116" s="11" t="n">
        <x:v>86.4</x:v>
      </x:c>
      <x:c r="K116" s="11" t="n">
        <x:v>172.8</x:v>
      </x:c>
      <x:c r="L116" s="11" t="n">
        <x:v>864</x:v>
      </x:c>
      <x:c r="M116" s="11" t="n">
        <x:v>777.6</x:v>
      </x:c>
      <x:c r="N116" s="4" t="str">
        <x:f>IF(ISNUMBER(E116),"P"&amp;TEXT(E116,"000"),TRIM(E116))</x:f>
        <x:v>P004</x:v>
      </x:c>
      <x:c r="O116" s="4" t="n">
        <x:f>COUNTIFS(Products!$A$7:$A$66,N116)</x:f>
        <x:v>1</x:v>
      </x:c>
      <x:c r="P116" s="4" t="str">
        <x:f>IF(O116=0,"Unmatched",IF(O116&gt;1,"Ambiguous","Matched"))</x:f>
        <x:v>Matched</x:v>
      </x:c>
      <x:c r="Q116" s="4" t="str">
        <x:f>IF(O116&lt;&gt;1,P116,INDEX(Products!$C$7:$C$66,MATCH(N116,Products!$A$7:$A$66,0)))</x:f>
        <x:v>Kitchen</x:v>
      </x:c>
    </x:row>
    <x:row r="117" ht="22" customHeight="1">
      <x:c r="A117" s="4" t="str">
        <x:v>L2025-017934</x:v>
      </x:c>
      <x:c r="B117" s="4" t="str">
        <x:v>O2025-07174</x:v>
      </x:c>
      <x:c r="C117" s="9" t="n">
        <x:v>45876</x:v>
      </x:c>
      <x:c r="D117" s="4" t="str">
        <x:v>S02</x:v>
      </x:c>
      <x:c r="E117" s="4" t="str">
        <x:v>P045</x:v>
      </x:c>
      <x:c r="F117" s="4" t="str">
        <x:f>IF(O117&lt;&gt;1,P117,_xlfn.XLOOKUP(N117,Products!$A$7:$A$66,Products!$B$7:$B$66,"Unmatched",0))</x:f>
        <x:v>Hair oil</x:v>
      </x:c>
      <x:c r="G117" s="4" t="str">
        <x:f>IF(O117&lt;&gt;1,P117,_xlfn.XLOOKUP(N117,Products!$A$7:$A$66,Products!$C$7:$C$66,"Unmatched",0))</x:f>
        <x:v>Personal care</x:v>
      </x:c>
      <x:c r="H117" s="10" t="n">
        <x:v>1</x:v>
      </x:c>
      <x:c r="I117" s="11" t="n">
        <x:v>364</x:v>
      </x:c>
      <x:c r="J117" s="11" t="n">
        <x:v>36.4</x:v>
      </x:c>
      <x:c r="K117" s="11" t="n">
        <x:v>232.96</x:v>
      </x:c>
      <x:c r="L117" s="11" t="n">
        <x:v>364</x:v>
      </x:c>
      <x:c r="M117" s="11" t="n">
        <x:v>327.6</x:v>
      </x:c>
      <x:c r="N117" s="4" t="str">
        <x:f>IF(ISNUMBER(E117),"P"&amp;TEXT(E117,"000"),TRIM(E117))</x:f>
        <x:v>P045</x:v>
      </x:c>
      <x:c r="O117" s="4" t="n">
        <x:f>COUNTIFS(Products!$A$7:$A$66,N117)</x:f>
        <x:v>1</x:v>
      </x:c>
      <x:c r="P117" s="4" t="str">
        <x:f>IF(O117=0,"Unmatched",IF(O117&gt;1,"Ambiguous","Matched"))</x:f>
        <x:v>Matched</x:v>
      </x:c>
      <x:c r="Q117" s="4" t="str">
        <x:f>IF(O117&lt;&gt;1,P117,INDEX(Products!$C$7:$C$66,MATCH(N117,Products!$A$7:$A$66,0)))</x:f>
        <x:v>Personal care</x:v>
      </x:c>
    </x:row>
    <x:row r="118" ht="22" customHeight="1">
      <x:c r="A118" s="4" t="str">
        <x:v>L2025-017935</x:v>
      </x:c>
      <x:c r="B118" s="4" t="str">
        <x:v>O2025-07174</x:v>
      </x:c>
      <x:c r="C118" s="9" t="n">
        <x:v>45876</x:v>
      </x:c>
      <x:c r="D118" s="4" t="str">
        <x:v>S02</x:v>
      </x:c>
      <x:c r="E118" s="4" t="str">
        <x:v>P047</x:v>
      </x:c>
      <x:c r="F118" s="4" t="str">
        <x:f>IF(O118&lt;&gt;1,P118,_xlfn.XLOOKUP(N118,Products!$A$7:$A$66,Products!$B$7:$B$66,"Unmatched",0))</x:f>
        <x:v>Grooming kit</x:v>
      </x:c>
      <x:c r="G118" s="4" t="str">
        <x:f>IF(O118&lt;&gt;1,P118,_xlfn.XLOOKUP(N118,Products!$A$7:$A$66,Products!$C$7:$C$66,"Unmatched",0))</x:f>
        <x:v>Personal care</x:v>
      </x:c>
      <x:c r="H118" s="10" t="n">
        <x:v>4</x:v>
      </x:c>
      <x:c r="I118" s="11" t="n">
        <x:v>420</x:v>
      </x:c>
      <x:c r="J118" s="11" t="n">
        <x:v>0</x:v>
      </x:c>
      <x:c r="K118" s="11" t="n">
        <x:v>268.8</x:v>
      </x:c>
      <x:c r="L118" s="11" t="n">
        <x:v>1680</x:v>
      </x:c>
      <x:c r="M118" s="11" t="n">
        <x:v>1680</x:v>
      </x:c>
      <x:c r="N118" s="4" t="str">
        <x:f>IF(ISNUMBER(E118),"P"&amp;TEXT(E118,"000"),TRIM(E118))</x:f>
        <x:v>P047</x:v>
      </x:c>
      <x:c r="O118" s="4" t="n">
        <x:f>COUNTIFS(Products!$A$7:$A$66,N118)</x:f>
        <x:v>1</x:v>
      </x:c>
      <x:c r="P118" s="4" t="str">
        <x:f>IF(O118=0,"Unmatched",IF(O118&gt;1,"Ambiguous","Matched"))</x:f>
        <x:v>Matched</x:v>
      </x:c>
      <x:c r="Q118" s="4" t="str">
        <x:f>IF(O118&lt;&gt;1,P118,INDEX(Products!$C$7:$C$66,MATCH(N118,Products!$A$7:$A$66,0)))</x:f>
        <x:v>Personal care</x:v>
      </x:c>
    </x:row>
    <x:row r="119" ht="22" customHeight="1">
      <x:c r="A119" s="4" t="str">
        <x:v>L2025-018443</x:v>
      </x:c>
      <x:c r="B119" s="4" t="str">
        <x:v>O2025-07378</x:v>
      </x:c>
      <x:c r="C119" s="9" t="n">
        <x:v>45882</x:v>
      </x:c>
      <x:c r="D119" s="4" t="str">
        <x:v>WEB</x:v>
      </x:c>
      <x:c r="E119" s="4" t="str">
        <x:v>P043</x:v>
      </x:c>
      <x:c r="F119" s="4" t="str">
        <x:f>IF(O119&lt;&gt;1,P119,_xlfn.XLOOKUP(N119,Products!$A$7:$A$66,Products!$B$7:$B$66,"Unmatched",0))</x:f>
        <x:v>Face towel</x:v>
      </x:c>
      <x:c r="G119" s="4" t="str">
        <x:f>IF(O119&lt;&gt;1,P119,_xlfn.XLOOKUP(N119,Products!$A$7:$A$66,Products!$C$7:$C$66,"Unmatched",0))</x:f>
        <x:v>Personal care</x:v>
      </x:c>
      <x:c r="H119" s="10" t="n">
        <x:v>5</x:v>
      </x:c>
      <x:c r="I119" s="11" t="n">
        <x:v>308</x:v>
      </x:c>
      <x:c r="J119" s="11" t="n">
        <x:v>231</x:v>
      </x:c>
      <x:c r="K119" s="11" t="n">
        <x:v>197.12</x:v>
      </x:c>
      <x:c r="L119" s="11" t="n">
        <x:v>1540</x:v>
      </x:c>
      <x:c r="M119" s="11" t="n">
        <x:v>1309</x:v>
      </x:c>
      <x:c r="N119" s="4" t="str">
        <x:f>IF(ISNUMBER(E119),"P"&amp;TEXT(E119,"000"),TRIM(E119))</x:f>
        <x:v>P043</x:v>
      </x:c>
      <x:c r="O119" s="4" t="n">
        <x:f>COUNTIFS(Products!$A$7:$A$66,N119)</x:f>
        <x:v>1</x:v>
      </x:c>
      <x:c r="P119" s="4" t="str">
        <x:f>IF(O119=0,"Unmatched",IF(O119&gt;1,"Ambiguous","Matched"))</x:f>
        <x:v>Matched</x:v>
      </x:c>
      <x:c r="Q119" s="4" t="str">
        <x:f>IF(O119&lt;&gt;1,P119,INDEX(Products!$C$7:$C$66,MATCH(N119,Products!$A$7:$A$66,0)))</x:f>
        <x:v>Personal care</x:v>
      </x:c>
    </x:row>
    <x:row r="120" ht="22" customHeight="1">
      <x:c r="A120" s="4" t="str">
        <x:v>L2025-018444</x:v>
      </x:c>
      <x:c r="B120" s="4" t="str">
        <x:v>O2025-07378</x:v>
      </x:c>
      <x:c r="C120" s="9" t="n">
        <x:v>45882</x:v>
      </x:c>
      <x:c r="D120" s="4" t="str">
        <x:v>WEB</x:v>
      </x:c>
      <x:c r="E120" s="4" t="str">
        <x:v>P040</x:v>
      </x:c>
      <x:c r="F120" s="4" t="str">
        <x:f>IF(O120&lt;&gt;1,P120,_xlfn.XLOOKUP(N120,Products!$A$7:$A$66,Products!$B$7:$B$66,"Unmatched",0))</x:f>
        <x:v>Toothbrush pack</x:v>
      </x:c>
      <x:c r="G120" s="4" t="str">
        <x:f>IF(O120&lt;&gt;1,P120,_xlfn.XLOOKUP(N120,Products!$A$7:$A$66,Products!$C$7:$C$66,"Unmatched",0))</x:f>
        <x:v>Personal care</x:v>
      </x:c>
      <x:c r="H120" s="10" t="n">
        <x:v>3</x:v>
      </x:c>
      <x:c r="I120" s="11" t="n">
        <x:v>224</x:v>
      </x:c>
      <x:c r="J120" s="11" t="n">
        <x:v>33.6</x:v>
      </x:c>
      <x:c r="K120" s="11" t="n">
        <x:v>143.36</x:v>
      </x:c>
      <x:c r="L120" s="11" t="n">
        <x:v>672</x:v>
      </x:c>
      <x:c r="M120" s="11" t="n">
        <x:v>638.4</x:v>
      </x:c>
      <x:c r="N120" s="4" t="str">
        <x:f>IF(ISNUMBER(E120),"P"&amp;TEXT(E120,"000"),TRIM(E120))</x:f>
        <x:v>P040</x:v>
      </x:c>
      <x:c r="O120" s="4" t="n">
        <x:f>COUNTIFS(Products!$A$7:$A$66,N120)</x:f>
        <x:v>1</x:v>
      </x:c>
      <x:c r="P120" s="4" t="str">
        <x:f>IF(O120=0,"Unmatched",IF(O120&gt;1,"Ambiguous","Matched"))</x:f>
        <x:v>Matched</x:v>
      </x:c>
      <x:c r="Q120" s="4" t="str">
        <x:f>IF(O120&lt;&gt;1,P120,INDEX(Products!$C$7:$C$66,MATCH(N120,Products!$A$7:$A$66,0)))</x:f>
        <x:v>Personal care</x:v>
      </x:c>
    </x:row>
    <x:row r="121" ht="22" customHeight="1">
      <x:c r="A121" s="4" t="str">
        <x:v>L2025-018445</x:v>
      </x:c>
      <x:c r="B121" s="4" t="str">
        <x:v>O2025-07378</x:v>
      </x:c>
      <x:c r="C121" s="9" t="n">
        <x:v>45882</x:v>
      </x:c>
      <x:c r="D121" s="4" t="str">
        <x:v>WEB</x:v>
      </x:c>
      <x:c r="E121" s="4" t="str">
        <x:v>P047</x:v>
      </x:c>
      <x:c r="F121" s="4" t="str">
        <x:f>IF(O121&lt;&gt;1,P121,_xlfn.XLOOKUP(N121,Products!$A$7:$A$66,Products!$B$7:$B$66,"Unmatched",0))</x:f>
        <x:v>Grooming kit</x:v>
      </x:c>
      <x:c r="G121" s="4" t="str">
        <x:f>IF(O121&lt;&gt;1,P121,_xlfn.XLOOKUP(N121,Products!$A$7:$A$66,Products!$C$7:$C$66,"Unmatched",0))</x:f>
        <x:v>Personal care</x:v>
      </x:c>
      <x:c r="H121" s="10" t="n">
        <x:v>5</x:v>
      </x:c>
      <x:c r="I121" s="11" t="n">
        <x:v>420</x:v>
      </x:c>
      <x:c r="J121" s="11" t="n">
        <x:v>315</x:v>
      </x:c>
      <x:c r="K121" s="11" t="n">
        <x:v>268.8</x:v>
      </x:c>
      <x:c r="L121" s="11" t="n">
        <x:v>2100</x:v>
      </x:c>
      <x:c r="M121" s="11" t="n">
        <x:v>1785</x:v>
      </x:c>
      <x:c r="N121" s="4" t="str">
        <x:f>IF(ISNUMBER(E121),"P"&amp;TEXT(E121,"000"),TRIM(E121))</x:f>
        <x:v>P047</x:v>
      </x:c>
      <x:c r="O121" s="4" t="n">
        <x:f>COUNTIFS(Products!$A$7:$A$66,N121)</x:f>
        <x:v>1</x:v>
      </x:c>
      <x:c r="P121" s="4" t="str">
        <x:f>IF(O121=0,"Unmatched",IF(O121&gt;1,"Ambiguous","Matched"))</x:f>
        <x:v>Matched</x:v>
      </x:c>
      <x:c r="Q121" s="4" t="str">
        <x:f>IF(O121&lt;&gt;1,P121,INDEX(Products!$C$7:$C$66,MATCH(N121,Products!$A$7:$A$66,0)))</x:f>
        <x:v>Personal care</x:v>
      </x:c>
    </x:row>
    <x:row r="122" ht="22" customHeight="1">
      <x:c r="A122" s="4" t="str">
        <x:v>L2025-018953</x:v>
      </x:c>
      <x:c r="B122" s="4" t="str">
        <x:v>O2025-07582</x:v>
      </x:c>
      <x:c r="C122" s="9" t="n">
        <x:v>45888</x:v>
      </x:c>
      <x:c r="D122" s="4" t="str">
        <x:v>WEB</x:v>
      </x:c>
      <x:c r="E122" s="4" t="str">
        <x:v>P034</x:v>
      </x:c>
      <x:c r="F122" s="4" t="str">
        <x:f>IF(O122&lt;&gt;1,P122,_xlfn.XLOOKUP(N122,Products!$A$7:$A$66,Products!$B$7:$B$66,"Unmatched",0))</x:f>
        <x:v>Desk tray</x:v>
      </x:c>
      <x:c r="G122" s="4" t="str">
        <x:f>IF(O122&lt;&gt;1,P122,_xlfn.XLOOKUP(N122,Products!$A$7:$A$66,Products!$C$7:$C$66,"Unmatched",0))</x:f>
        <x:v>Stationery</x:v>
      </x:c>
      <x:c r="H122" s="10" t="n">
        <x:v>1</x:v>
      </x:c>
      <x:c r="I122" s="11" t="n">
        <x:v>140</x:v>
      </x:c>
      <x:c r="J122" s="11" t="n">
        <x:v>14</x:v>
      </x:c>
      <x:c r="K122" s="11" t="n">
        <x:v>72.8</x:v>
      </x:c>
      <x:c r="L122" s="11" t="n">
        <x:v>140</x:v>
      </x:c>
      <x:c r="M122" s="11" t="n">
        <x:v>126</x:v>
      </x:c>
      <x:c r="N122" s="4" t="str">
        <x:f>IF(ISNUMBER(E122),"P"&amp;TEXT(E122,"000"),TRIM(E122))</x:f>
        <x:v>P034</x:v>
      </x:c>
      <x:c r="O122" s="4" t="n">
        <x:f>COUNTIFS(Products!$A$7:$A$66,N122)</x:f>
        <x:v>1</x:v>
      </x:c>
      <x:c r="P122" s="4" t="str">
        <x:f>IF(O122=0,"Unmatched",IF(O122&gt;1,"Ambiguous","Matched"))</x:f>
        <x:v>Matched</x:v>
      </x:c>
      <x:c r="Q122" s="4" t="str">
        <x:f>IF(O122&lt;&gt;1,P122,INDEX(Products!$C$7:$C$66,MATCH(N122,Products!$A$7:$A$66,0)))</x:f>
        <x:v>Stationery</x:v>
      </x:c>
    </x:row>
    <x:row r="123" ht="22" customHeight="1">
      <x:c r="A123" s="4" t="str">
        <x:v>L2025-018954</x:v>
      </x:c>
      <x:c r="B123" s="4" t="str">
        <x:v>O2025-07582</x:v>
      </x:c>
      <x:c r="C123" s="9" t="n">
        <x:v>45888</x:v>
      </x:c>
      <x:c r="D123" s="4" t="str">
        <x:v>WEB</x:v>
      </x:c>
      <x:c r="E123" s="4" t="str">
        <x:v>P049</x:v>
      </x:c>
      <x:c r="F123" s="4" t="str">
        <x:f>IF(O123&lt;&gt;1,P123,_xlfn.XLOOKUP(N123,Products!$A$7:$A$66,Products!$B$7:$B$66,"Unmatched",0))</x:f>
        <x:v>USB cable</x:v>
      </x:c>
      <x:c r="G123" s="4" t="str">
        <x:f>IF(O123&lt;&gt;1,P123,_xlfn.XLOOKUP(N123,Products!$A$7:$A$66,Products!$C$7:$C$66,"Unmatched",0))</x:f>
        <x:v>Electronics</x:v>
      </x:c>
      <x:c r="H123" s="10" t="n">
        <x:v>1</x:v>
      </x:c>
      <x:c r="I123" s="11" t="n">
        <x:v>1250</x:v>
      </x:c>
      <x:c r="J123" s="11" t="n">
        <x:v>62.5</x:v>
      </x:c>
      <x:c r="K123" s="11" t="n">
        <x:v>1050</x:v>
      </x:c>
      <x:c r="L123" s="11" t="n">
        <x:v>1250</x:v>
      </x:c>
      <x:c r="M123" s="11" t="n">
        <x:v>1187.5</x:v>
      </x:c>
      <x:c r="N123" s="4" t="str">
        <x:f>IF(ISNUMBER(E123),"P"&amp;TEXT(E123,"000"),TRIM(E123))</x:f>
        <x:v>P049</x:v>
      </x:c>
      <x:c r="O123" s="4" t="n">
        <x:f>COUNTIFS(Products!$A$7:$A$66,N123)</x:f>
        <x:v>1</x:v>
      </x:c>
      <x:c r="P123" s="4" t="str">
        <x:f>IF(O123=0,"Unmatched",IF(O123&gt;1,"Ambiguous","Matched"))</x:f>
        <x:v>Matched</x:v>
      </x:c>
      <x:c r="Q123" s="4" t="str">
        <x:f>IF(O123&lt;&gt;1,P123,INDEX(Products!$C$7:$C$66,MATCH(N123,Products!$A$7:$A$66,0)))</x:f>
        <x:v>Electronics</x:v>
      </x:c>
    </x:row>
    <x:row r="124" ht="22" customHeight="1">
      <x:c r="A124" s="4" t="str">
        <x:v>L2025-018955</x:v>
      </x:c>
      <x:c r="B124" s="4" t="str">
        <x:v>O2025-07582</x:v>
      </x:c>
      <x:c r="C124" s="9" t="n">
        <x:v>45888</x:v>
      </x:c>
      <x:c r="D124" s="4" t="str">
        <x:v>WEB</x:v>
      </x:c>
      <x:c r="E124" s="4" t="str">
        <x:v>P027</x:v>
      </x:c>
      <x:c r="F124" s="4" t="str">
        <x:f>IF(O124&lt;&gt;1,P124,_xlfn.XLOOKUP(N124,Products!$A$7:$A$66,Products!$B$7:$B$66,"Unmatched",0))</x:f>
        <x:v>Pencil pack</x:v>
      </x:c>
      <x:c r="G124" s="4" t="str">
        <x:f>IF(O124&lt;&gt;1,P124,_xlfn.XLOOKUP(N124,Products!$A$7:$A$66,Products!$C$7:$C$66,"Unmatched",0))</x:f>
        <x:v>Stationery</x:v>
      </x:c>
      <x:c r="H124" s="10" t="n">
        <x:v>3</x:v>
      </x:c>
      <x:c r="I124" s="11" t="n">
        <x:v>70</x:v>
      </x:c>
      <x:c r="J124" s="11" t="n">
        <x:v>0</x:v>
      </x:c>
      <x:c r="K124" s="11" t="n">
        <x:v>36.4</x:v>
      </x:c>
      <x:c r="L124" s="11" t="n">
        <x:v>210</x:v>
      </x:c>
      <x:c r="M124" s="11" t="n">
        <x:v>210</x:v>
      </x:c>
      <x:c r="N124" s="4" t="str">
        <x:f>IF(ISNUMBER(E124),"P"&amp;TEXT(E124,"000"),TRIM(E124))</x:f>
        <x:v>P027</x:v>
      </x:c>
      <x:c r="O124" s="4" t="n">
        <x:f>COUNTIFS(Products!$A$7:$A$66,N124)</x:f>
        <x:v>1</x:v>
      </x:c>
      <x:c r="P124" s="4" t="str">
        <x:f>IF(O124=0,"Unmatched",IF(O124&gt;1,"Ambiguous","Matched"))</x:f>
        <x:v>Matched</x:v>
      </x:c>
      <x:c r="Q124" s="4" t="str">
        <x:f>IF(O124&lt;&gt;1,P124,INDEX(Products!$C$7:$C$66,MATCH(N124,Products!$A$7:$A$66,0)))</x:f>
        <x:v>Stationery</x:v>
      </x:c>
    </x:row>
    <x:row r="125" ht="22" customHeight="1">
      <x:c r="A125" s="4" t="str">
        <x:v>L2025-019463</x:v>
      </x:c>
      <x:c r="B125" s="4" t="str">
        <x:v>O2025-07786</x:v>
      </x:c>
      <x:c r="C125" s="9" t="n">
        <x:v>45894</x:v>
      </x:c>
      <x:c r="D125" s="4" t="str">
        <x:v>WEB</x:v>
      </x:c>
      <x:c r="E125" s="4" t="str">
        <x:v>P014</x:v>
      </x:c>
      <x:c r="F125" s="4" t="str">
        <x:f>IF(O125&lt;&gt;1,P125,_xlfn.XLOOKUP(N125,Products!$A$7:$A$66,Products!$B$7:$B$66,"Unmatched",0))</x:f>
        <x:v>Scrub pad</x:v>
      </x:c>
      <x:c r="G125" s="4" t="str">
        <x:f>IF(O125&lt;&gt;1,P125,_xlfn.XLOOKUP(N125,Products!$A$7:$A$66,Products!$C$7:$C$66,"Unmatched",0))</x:f>
        <x:v>Home care</x:v>
      </x:c>
      <x:c r="H125" s="10" t="n">
        <x:v>3</x:v>
      </x:c>
      <x:c r="I125" s="11" t="n">
        <x:v>144</x:v>
      </x:c>
      <x:c r="J125" s="11" t="n">
        <x:v>64.8</x:v>
      </x:c>
      <x:c r="K125" s="11" t="n">
        <x:v>89.28</x:v>
      </x:c>
      <x:c r="L125" s="11" t="n">
        <x:v>432</x:v>
      </x:c>
      <x:c r="M125" s="11" t="n">
        <x:v>367.2</x:v>
      </x:c>
      <x:c r="N125" s="4" t="str">
        <x:f>IF(ISNUMBER(E125),"P"&amp;TEXT(E125,"000"),TRIM(E125))</x:f>
        <x:v>P014</x:v>
      </x:c>
      <x:c r="O125" s="4" t="n">
        <x:f>COUNTIFS(Products!$A$7:$A$66,N125)</x:f>
        <x:v>1</x:v>
      </x:c>
      <x:c r="P125" s="4" t="str">
        <x:f>IF(O125=0,"Unmatched",IF(O125&gt;1,"Ambiguous","Matched"))</x:f>
        <x:v>Matched</x:v>
      </x:c>
      <x:c r="Q125" s="4" t="str">
        <x:f>IF(O125&lt;&gt;1,P125,INDEX(Products!$C$7:$C$66,MATCH(N125,Products!$A$7:$A$66,0)))</x:f>
        <x:v>Home care</x:v>
      </x:c>
    </x:row>
    <x:row r="126" ht="22" customHeight="1">
      <x:c r="A126" s="4" t="str">
        <x:v>L2025-019464</x:v>
      </x:c>
      <x:c r="B126" s="4" t="str">
        <x:v>O2025-07786</x:v>
      </x:c>
      <x:c r="C126" s="9" t="n">
        <x:v>45894</x:v>
      </x:c>
      <x:c r="D126" s="4" t="str">
        <x:v>WEB</x:v>
      </x:c>
      <x:c r="E126" s="4" t="str">
        <x:v>P036</x:v>
      </x:c>
      <x:c r="F126" s="4" t="str">
        <x:f>IF(O126&lt;&gt;1,P126,_xlfn.XLOOKUP(N126,Products!$A$7:$A$66,Products!$B$7:$B$66,"Unmatched",0))</x:f>
        <x:v>Paper pack</x:v>
      </x:c>
      <x:c r="G126" s="4" t="str">
        <x:f>IF(O126&lt;&gt;1,P126,_xlfn.XLOOKUP(N126,Products!$A$7:$A$66,Products!$C$7:$C$66,"Unmatched",0))</x:f>
        <x:v>Stationery</x:v>
      </x:c>
      <x:c r="H126" s="10" t="n">
        <x:v>3</x:v>
      </x:c>
      <x:c r="I126" s="11" t="n">
        <x:v>160</x:v>
      </x:c>
      <x:c r="J126" s="11" t="n">
        <x:v>72</x:v>
      </x:c>
      <x:c r="K126" s="11" t="n">
        <x:v>83.2</x:v>
      </x:c>
      <x:c r="L126" s="11" t="n">
        <x:v>480</x:v>
      </x:c>
      <x:c r="M126" s="11" t="n">
        <x:v>408</x:v>
      </x:c>
      <x:c r="N126" s="4" t="str">
        <x:f>IF(ISNUMBER(E126),"P"&amp;TEXT(E126,"000"),TRIM(E126))</x:f>
        <x:v>P036</x:v>
      </x:c>
      <x:c r="O126" s="4" t="n">
        <x:f>COUNTIFS(Products!$A$7:$A$66,N126)</x:f>
        <x:v>1</x:v>
      </x:c>
      <x:c r="P126" s="4" t="str">
        <x:f>IF(O126=0,"Unmatched",IF(O126&gt;1,"Ambiguous","Matched"))</x:f>
        <x:v>Matched</x:v>
      </x:c>
      <x:c r="Q126" s="4" t="str">
        <x:f>IF(O126&lt;&gt;1,P126,INDEX(Products!$C$7:$C$66,MATCH(N126,Products!$A$7:$A$66,0)))</x:f>
        <x:v>Stationery</x:v>
      </x:c>
    </x:row>
    <x:row r="127" ht="22" customHeight="1">
      <x:c r="A127" s="4" t="str">
        <x:v>L2025-019465</x:v>
      </x:c>
      <x:c r="B127" s="4" t="str">
        <x:v>O2025-07786</x:v>
      </x:c>
      <x:c r="C127" s="9" t="n">
        <x:v>45894</x:v>
      </x:c>
      <x:c r="D127" s="4" t="str">
        <x:v>WEB</x:v>
      </x:c>
      <x:c r="E127" s="4" t="str">
        <x:v>P005</x:v>
      </x:c>
      <x:c r="F127" s="4" t="str">
        <x:f>IF(O127&lt;&gt;1,P127,_xlfn.XLOOKUP(N127,Products!$A$7:$A$66,Products!$B$7:$B$66,"Unmatched",0))</x:f>
        <x:v>Water bottle</x:v>
      </x:c>
      <x:c r="G127" s="4" t="str">
        <x:f>IF(O127&lt;&gt;1,P127,_xlfn.XLOOKUP(N127,Products!$A$7:$A$66,Products!$C$7:$C$66,"Unmatched",0))</x:f>
        <x:v>Kitchen</x:v>
      </x:c>
      <x:c r="H127" s="10" t="n">
        <x:v>2</x:v>
      </x:c>
      <x:c r="I127" s="11" t="n">
        <x:v>324</x:v>
      </x:c>
      <x:c r="J127" s="11" t="n">
        <x:v>0</x:v>
      </x:c>
      <x:c r="K127" s="11" t="n">
        <x:v>194.4</x:v>
      </x:c>
      <x:c r="L127" s="11" t="n">
        <x:v>648</x:v>
      </x:c>
      <x:c r="M127" s="11" t="n">
        <x:v>648</x:v>
      </x:c>
      <x:c r="N127" s="4" t="str">
        <x:f>IF(ISNUMBER(E127),"P"&amp;TEXT(E127,"000"),TRIM(E127))</x:f>
        <x:v>P005</x:v>
      </x:c>
      <x:c r="O127" s="4" t="n">
        <x:f>COUNTIFS(Products!$A$7:$A$66,N127)</x:f>
        <x:v>1</x:v>
      </x:c>
      <x:c r="P127" s="4" t="str">
        <x:f>IF(O127=0,"Unmatched",IF(O127&gt;1,"Ambiguous","Matched"))</x:f>
        <x:v>Matched</x:v>
      </x:c>
      <x:c r="Q127" s="4" t="str">
        <x:f>IF(O127&lt;&gt;1,P127,INDEX(Products!$C$7:$C$66,MATCH(N127,Products!$A$7:$A$66,0)))</x:f>
        <x:v>Kitchen</x:v>
      </x:c>
    </x:row>
    <x:row r="128" ht="22" customHeight="1">
      <x:c r="A128" s="4" t="str">
        <x:v>L2025-019973</x:v>
      </x:c>
      <x:c r="B128" s="4" t="str">
        <x:v>O2025-07990</x:v>
      </x:c>
      <x:c r="C128" s="9" t="n">
        <x:v>45900</x:v>
      </x:c>
      <x:c r="D128" s="4" t="str">
        <x:v>S05</x:v>
      </x:c>
      <x:c r="E128" s="4" t="str">
        <x:v>P039</x:v>
      </x:c>
      <x:c r="F128" s="4" t="str">
        <x:f>IF(O128&lt;&gt;1,P128,_xlfn.XLOOKUP(N128,Products!$A$7:$A$66,Products!$B$7:$B$66,"Unmatched",0))</x:f>
        <x:v>Hand wash</x:v>
      </x:c>
      <x:c r="G128" s="4" t="str">
        <x:f>IF(O128&lt;&gt;1,P128,_xlfn.XLOOKUP(N128,Products!$A$7:$A$66,Products!$C$7:$C$66,"Unmatched",0))</x:f>
        <x:v>Personal care</x:v>
      </x:c>
      <x:c r="H128" s="10" t="n">
        <x:v>1</x:v>
      </x:c>
      <x:c r="I128" s="11" t="n">
        <x:v>196</x:v>
      </x:c>
      <x:c r="J128" s="11" t="n">
        <x:v>39.2</x:v>
      </x:c>
      <x:c r="K128" s="11" t="n">
        <x:v>125.44</x:v>
      </x:c>
      <x:c r="L128" s="11" t="n">
        <x:v>196</x:v>
      </x:c>
      <x:c r="M128" s="11" t="n">
        <x:v>156.8</x:v>
      </x:c>
      <x:c r="N128" s="4" t="str">
        <x:f>IF(ISNUMBER(E128),"P"&amp;TEXT(E128,"000"),TRIM(E128))</x:f>
        <x:v>P039</x:v>
      </x:c>
      <x:c r="O128" s="4" t="n">
        <x:f>COUNTIFS(Products!$A$7:$A$66,N128)</x:f>
        <x:v>1</x:v>
      </x:c>
      <x:c r="P128" s="4" t="str">
        <x:f>IF(O128=0,"Unmatched",IF(O128&gt;1,"Ambiguous","Matched"))</x:f>
        <x:v>Matched</x:v>
      </x:c>
      <x:c r="Q128" s="4" t="str">
        <x:f>IF(O128&lt;&gt;1,P128,INDEX(Products!$C$7:$C$66,MATCH(N128,Products!$A$7:$A$66,0)))</x:f>
        <x:v>Personal care</x:v>
      </x:c>
    </x:row>
    <x:row r="129" ht="22" customHeight="1">
      <x:c r="A129" s="4" t="str">
        <x:v>L2025-019974</x:v>
      </x:c>
      <x:c r="B129" s="4" t="str">
        <x:v>O2025-07990</x:v>
      </x:c>
      <x:c r="C129" s="9" t="n">
        <x:v>45900</x:v>
      </x:c>
      <x:c r="D129" s="4" t="str">
        <x:v>S05</x:v>
      </x:c>
      <x:c r="E129" s="4" t="str">
        <x:v>P013</x:v>
      </x:c>
      <x:c r="F129" s="4" t="str">
        <x:f>IF(O129&lt;&gt;1,P129,_xlfn.XLOOKUP(N129,Products!$A$7:$A$66,Products!$B$7:$B$66,"Unmatched",0))</x:f>
        <x:v>Cleaning cloth</x:v>
      </x:c>
      <x:c r="G129" s="4" t="str">
        <x:f>IF(O129&lt;&gt;1,P129,_xlfn.XLOOKUP(N129,Products!$A$7:$A$66,Products!$C$7:$C$66,"Unmatched",0))</x:f>
        <x:v>Home care</x:v>
      </x:c>
      <x:c r="H129" s="10" t="n">
        <x:v>1</x:v>
      </x:c>
      <x:c r="I129" s="11" t="n">
        <x:v>120</x:v>
      </x:c>
      <x:c r="J129" s="11" t="n">
        <x:v>12</x:v>
      </x:c>
      <x:c r="K129" s="11" t="n">
        <x:v>74.4</x:v>
      </x:c>
      <x:c r="L129" s="11" t="n">
        <x:v>120</x:v>
      </x:c>
      <x:c r="M129" s="11" t="n">
        <x:v>108</x:v>
      </x:c>
      <x:c r="N129" s="4" t="str">
        <x:f>IF(ISNUMBER(E129),"P"&amp;TEXT(E129,"000"),TRIM(E129))</x:f>
        <x:v>P013</x:v>
      </x:c>
      <x:c r="O129" s="4" t="n">
        <x:f>COUNTIFS(Products!$A$7:$A$66,N129)</x:f>
        <x:v>1</x:v>
      </x:c>
      <x:c r="P129" s="4" t="str">
        <x:f>IF(O129=0,"Unmatched",IF(O129&gt;1,"Ambiguous","Matched"))</x:f>
        <x:v>Matched</x:v>
      </x:c>
      <x:c r="Q129" s="4" t="str">
        <x:f>IF(O129&lt;&gt;1,P129,INDEX(Products!$C$7:$C$66,MATCH(N129,Products!$A$7:$A$66,0)))</x:f>
        <x:v>Home care</x:v>
      </x:c>
    </x:row>
    <x:row r="130" ht="22" customHeight="1">
      <x:c r="A130" s="4" t="str">
        <x:v>L2025-019975</x:v>
      </x:c>
      <x:c r="B130" s="4" t="str">
        <x:v>O2025-07990</x:v>
      </x:c>
      <x:c r="C130" s="9" t="n">
        <x:v>45900</x:v>
      </x:c>
      <x:c r="D130" s="4" t="str">
        <x:v>S05</x:v>
      </x:c>
      <x:c r="E130" s="4" t="str">
        <x:v>P043</x:v>
      </x:c>
      <x:c r="F130" s="4" t="str">
        <x:f>IF(O130&lt;&gt;1,P130,_xlfn.XLOOKUP(N130,Products!$A$7:$A$66,Products!$B$7:$B$66,"Unmatched",0))</x:f>
        <x:v>Face towel</x:v>
      </x:c>
      <x:c r="G130" s="4" t="str">
        <x:f>IF(O130&lt;&gt;1,P130,_xlfn.XLOOKUP(N130,Products!$A$7:$A$66,Products!$C$7:$C$66,"Unmatched",0))</x:f>
        <x:v>Personal care</x:v>
      </x:c>
      <x:c r="H130" s="10" t="n">
        <x:v>4</x:v>
      </x:c>
      <x:c r="I130" s="11" t="n">
        <x:v>308</x:v>
      </x:c>
      <x:c r="J130" s="11" t="n">
        <x:v>123.2</x:v>
      </x:c>
      <x:c r="K130" s="11" t="n">
        <x:v>197.12</x:v>
      </x:c>
      <x:c r="L130" s="11" t="n">
        <x:v>1232</x:v>
      </x:c>
      <x:c r="M130" s="11" t="n">
        <x:v>1108.8</x:v>
      </x:c>
      <x:c r="N130" s="4" t="str">
        <x:f>IF(ISNUMBER(E130),"P"&amp;TEXT(E130,"000"),TRIM(E130))</x:f>
        <x:v>P043</x:v>
      </x:c>
      <x:c r="O130" s="4" t="n">
        <x:f>COUNTIFS(Products!$A$7:$A$66,N130)</x:f>
        <x:v>1</x:v>
      </x:c>
      <x:c r="P130" s="4" t="str">
        <x:f>IF(O130=0,"Unmatched",IF(O130&gt;1,"Ambiguous","Matched"))</x:f>
        <x:v>Matched</x:v>
      </x:c>
      <x:c r="Q130" s="4" t="str">
        <x:f>IF(O130&lt;&gt;1,P130,INDEX(Products!$C$7:$C$66,MATCH(N130,Products!$A$7:$A$66,0)))</x:f>
        <x:v>Personal care</x:v>
      </x:c>
    </x:row>
    <x:row r="131" ht="22" customHeight="1">
      <x:c r="A131" s="4" t="str">
        <x:v>L2025-019976</x:v>
      </x:c>
      <x:c r="B131" s="4" t="str">
        <x:v>O2025-07991</x:v>
      </x:c>
      <x:c r="C131" s="9" t="n">
        <x:v>45901</x:v>
      </x:c>
      <x:c r="D131" s="4" t="str">
        <x:v>S04</x:v>
      </x:c>
      <x:c r="E131" s="4" t="str">
        <x:v>P027</x:v>
      </x:c>
      <x:c r="F131" s="4" t="str">
        <x:f>IF(O131&lt;&gt;1,P131,_xlfn.XLOOKUP(N131,Products!$A$7:$A$66,Products!$B$7:$B$66,"Unmatched",0))</x:f>
        <x:v>Pencil pack</x:v>
      </x:c>
      <x:c r="G131" s="4" t="str">
        <x:f>IF(O131&lt;&gt;1,P131,_xlfn.XLOOKUP(N131,Products!$A$7:$A$66,Products!$C$7:$C$66,"Unmatched",0))</x:f>
        <x:v>Stationery</x:v>
      </x:c>
      <x:c r="H131" s="10" t="n">
        <x:v>4</x:v>
      </x:c>
      <x:c r="I131" s="11" t="n">
        <x:v>70</x:v>
      </x:c>
      <x:c r="J131" s="11" t="n">
        <x:v>56</x:v>
      </x:c>
      <x:c r="K131" s="11" t="n">
        <x:v>36.4</x:v>
      </x:c>
      <x:c r="L131" s="11" t="n">
        <x:v>280</x:v>
      </x:c>
      <x:c r="M131" s="11" t="n">
        <x:v>224</x:v>
      </x:c>
      <x:c r="N131" s="4" t="str">
        <x:f>IF(ISNUMBER(E131),"P"&amp;TEXT(E131,"000"),TRIM(E131))</x:f>
        <x:v>P027</x:v>
      </x:c>
      <x:c r="O131" s="4" t="n">
        <x:f>COUNTIFS(Products!$A$7:$A$66,N131)</x:f>
        <x:v>1</x:v>
      </x:c>
      <x:c r="P131" s="4" t="str">
        <x:f>IF(O131=0,"Unmatched",IF(O131&gt;1,"Ambiguous","Matched"))</x:f>
        <x:v>Matched</x:v>
      </x:c>
      <x:c r="Q131" s="4" t="str">
        <x:f>IF(O131&lt;&gt;1,P131,INDEX(Products!$C$7:$C$66,MATCH(N131,Products!$A$7:$A$66,0)))</x:f>
        <x:v>Stationery</x:v>
      </x:c>
    </x:row>
    <x:row r="132" ht="22" customHeight="1">
      <x:c r="A132" s="4" t="str">
        <x:v>L2025-019977</x:v>
      </x:c>
      <x:c r="B132" s="4" t="str">
        <x:v>O2025-07991</x:v>
      </x:c>
      <x:c r="C132" s="9" t="n">
        <x:v>45901</x:v>
      </x:c>
      <x:c r="D132" s="4" t="str">
        <x:v>S04</x:v>
      </x:c>
      <x:c r="E132" s="4" t="str">
        <x:v>P056</x:v>
      </x:c>
      <x:c r="F132" s="4" t="str">
        <x:f>IF(O132&lt;&gt;1,P132,_xlfn.XLOOKUP(N132,Products!$A$7:$A$66,Products!$B$7:$B$66,"Unmatched",0))</x:f>
        <x:v>Speaker</x:v>
      </x:c>
      <x:c r="G132" s="4" t="str">
        <x:f>IF(O132&lt;&gt;1,P132,_xlfn.XLOOKUP(N132,Products!$A$7:$A$66,Products!$C$7:$C$66,"Unmatched",0))</x:f>
        <x:v>Electronics</x:v>
      </x:c>
      <x:c r="H132" s="10" t="n">
        <x:v>2</x:v>
      </x:c>
      <x:c r="I132" s="11" t="n">
        <x:v>3000</x:v>
      </x:c>
      <x:c r="J132" s="11" t="n">
        <x:v>1200</x:v>
      </x:c>
      <x:c r="K132" s="11" t="n">
        <x:v>2520</x:v>
      </x:c>
      <x:c r="L132" s="11" t="n">
        <x:v>6000</x:v>
      </x:c>
      <x:c r="M132" s="11" t="n">
        <x:v>4800</x:v>
      </x:c>
      <x:c r="N132" s="4" t="str">
        <x:f>IF(ISNUMBER(E132),"P"&amp;TEXT(E132,"000"),TRIM(E132))</x:f>
        <x:v>P056</x:v>
      </x:c>
      <x:c r="O132" s="4" t="n">
        <x:f>COUNTIFS(Products!$A$7:$A$66,N132)</x:f>
        <x:v>1</x:v>
      </x:c>
      <x:c r="P132" s="4" t="str">
        <x:f>IF(O132=0,"Unmatched",IF(O132&gt;1,"Ambiguous","Matched"))</x:f>
        <x:v>Matched</x:v>
      </x:c>
      <x:c r="Q132" s="4" t="str">
        <x:f>IF(O132&lt;&gt;1,P132,INDEX(Products!$C$7:$C$66,MATCH(N132,Products!$A$7:$A$66,0)))</x:f>
        <x:v>Electronics</x:v>
      </x:c>
    </x:row>
    <x:row r="133" ht="22" customHeight="1">
      <x:c r="A133" s="4" t="str">
        <x:v>L2025-020468</x:v>
      </x:c>
      <x:c r="B133" s="4" t="str">
        <x:v>O2025-08188</x:v>
      </x:c>
      <x:c r="C133" s="9" t="n">
        <x:v>45907</x:v>
      </x:c>
      <x:c r="D133" s="4" t="str">
        <x:v>S02</x:v>
      </x:c>
      <x:c r="E133" s="4" t="str">
        <x:v>P020</x:v>
      </x:c>
      <x:c r="F133" s="4" t="str">
        <x:f>IF(O133&lt;&gt;1,P133,_xlfn.XLOOKUP(N133,Products!$A$7:$A$66,Products!$B$7:$B$66,"Unmatched",0))</x:f>
        <x:v>Waste bin</x:v>
      </x:c>
      <x:c r="G133" s="4" t="str">
        <x:f>IF(O133&lt;&gt;1,P133,_xlfn.XLOOKUP(N133,Products!$A$7:$A$66,Products!$C$7:$C$66,"Unmatched",0))</x:f>
        <x:v>Home care</x:v>
      </x:c>
      <x:c r="H133" s="10" t="n">
        <x:v>1</x:v>
      </x:c>
      <x:c r="I133" s="11" t="n">
        <x:v>288</x:v>
      </x:c>
      <x:c r="J133" s="11" t="n">
        <x:v>28.8</x:v>
      </x:c>
      <x:c r="K133" s="11" t="n">
        <x:v>178.56</x:v>
      </x:c>
      <x:c r="L133" s="11" t="n">
        <x:v>288</x:v>
      </x:c>
      <x:c r="M133" s="11" t="n">
        <x:v>259.2</x:v>
      </x:c>
      <x:c r="N133" s="4" t="str">
        <x:f>IF(ISNUMBER(E133),"P"&amp;TEXT(E133,"000"),TRIM(E133))</x:f>
        <x:v>P020</x:v>
      </x:c>
      <x:c r="O133" s="4" t="n">
        <x:f>COUNTIFS(Products!$A$7:$A$66,N133)</x:f>
        <x:v>1</x:v>
      </x:c>
      <x:c r="P133" s="4" t="str">
        <x:f>IF(O133=0,"Unmatched",IF(O133&gt;1,"Ambiguous","Matched"))</x:f>
        <x:v>Matched</x:v>
      </x:c>
      <x:c r="Q133" s="4" t="str">
        <x:f>IF(O133&lt;&gt;1,P133,INDEX(Products!$C$7:$C$66,MATCH(N133,Products!$A$7:$A$66,0)))</x:f>
        <x:v>Home care</x:v>
      </x:c>
    </x:row>
    <x:row r="134" ht="22" customHeight="1">
      <x:c r="A134" s="4" t="str">
        <x:v>L2025-020469</x:v>
      </x:c>
      <x:c r="B134" s="4" t="str">
        <x:v>O2025-08188</x:v>
      </x:c>
      <x:c r="C134" s="9" t="n">
        <x:v>45907</x:v>
      </x:c>
      <x:c r="D134" s="4" t="str">
        <x:v>S02</x:v>
      </x:c>
      <x:c r="E134" s="4" t="str">
        <x:v>P015</x:v>
      </x:c>
      <x:c r="F134" s="4" t="str">
        <x:f>IF(O134&lt;&gt;1,P134,_xlfn.XLOOKUP(N134,Products!$A$7:$A$66,Products!$B$7:$B$66,"Unmatched",0))</x:f>
        <x:v>Floor brush</x:v>
      </x:c>
      <x:c r="G134" s="4" t="str">
        <x:f>IF(O134&lt;&gt;1,P134,_xlfn.XLOOKUP(N134,Products!$A$7:$A$66,Products!$C$7:$C$66,"Unmatched",0))</x:f>
        <x:v>Home care</x:v>
      </x:c>
      <x:c r="H134" s="10" t="n">
        <x:v>2</x:v>
      </x:c>
      <x:c r="I134" s="11" t="n">
        <x:v>168</x:v>
      </x:c>
      <x:c r="J134" s="11" t="n">
        <x:v>67.2</x:v>
      </x:c>
      <x:c r="K134" s="11" t="n">
        <x:v>104.16</x:v>
      </x:c>
      <x:c r="L134" s="11" t="n">
        <x:v>336</x:v>
      </x:c>
      <x:c r="M134" s="11" t="n">
        <x:v>268.8</x:v>
      </x:c>
      <x:c r="N134" s="4" t="str">
        <x:f>IF(ISNUMBER(E134),"P"&amp;TEXT(E134,"000"),TRIM(E134))</x:f>
        <x:v>P015</x:v>
      </x:c>
      <x:c r="O134" s="4" t="n">
        <x:f>COUNTIFS(Products!$A$7:$A$66,N134)</x:f>
        <x:v>1</x:v>
      </x:c>
      <x:c r="P134" s="4" t="str">
        <x:f>IF(O134=0,"Unmatched",IF(O134&gt;1,"Ambiguous","Matched"))</x:f>
        <x:v>Matched</x:v>
      </x:c>
      <x:c r="Q134" s="4" t="str">
        <x:f>IF(O134&lt;&gt;1,P134,INDEX(Products!$C$7:$C$66,MATCH(N134,Products!$A$7:$A$66,0)))</x:f>
        <x:v>Home care</x:v>
      </x:c>
    </x:row>
    <x:row r="135" ht="22" customHeight="1">
      <x:c r="A135" s="4" t="str">
        <x:v>L2025-020470</x:v>
      </x:c>
      <x:c r="B135" s="4" t="str">
        <x:v>O2025-08188</x:v>
      </x:c>
      <x:c r="C135" s="9" t="n">
        <x:v>45907</x:v>
      </x:c>
      <x:c r="D135" s="4" t="str">
        <x:v>S02</x:v>
      </x:c>
      <x:c r="E135" s="4" t="str">
        <x:v>P005</x:v>
      </x:c>
      <x:c r="F135" s="4" t="str">
        <x:f>IF(O135&lt;&gt;1,P135,_xlfn.XLOOKUP(N135,Products!$A$7:$A$66,Products!$B$7:$B$66,"Unmatched",0))</x:f>
        <x:v>Water bottle</x:v>
      </x:c>
      <x:c r="G135" s="4" t="str">
        <x:f>IF(O135&lt;&gt;1,P135,_xlfn.XLOOKUP(N135,Products!$A$7:$A$66,Products!$C$7:$C$66,"Unmatched",0))</x:f>
        <x:v>Kitchen</x:v>
      </x:c>
      <x:c r="H135" s="10" t="n">
        <x:v>2</x:v>
      </x:c>
      <x:c r="I135" s="11" t="n">
        <x:v>324</x:v>
      </x:c>
      <x:c r="J135" s="11" t="n">
        <x:v>129.6</x:v>
      </x:c>
      <x:c r="K135" s="11" t="n">
        <x:v>194.4</x:v>
      </x:c>
      <x:c r="L135" s="11" t="n">
        <x:v>648</x:v>
      </x:c>
      <x:c r="M135" s="11" t="n">
        <x:v>518.4</x:v>
      </x:c>
      <x:c r="N135" s="4" t="str">
        <x:f>IF(ISNUMBER(E135),"P"&amp;TEXT(E135,"000"),TRIM(E135))</x:f>
        <x:v>P005</x:v>
      </x:c>
      <x:c r="O135" s="4" t="n">
        <x:f>COUNTIFS(Products!$A$7:$A$66,N135)</x:f>
        <x:v>1</x:v>
      </x:c>
      <x:c r="P135" s="4" t="str">
        <x:f>IF(O135=0,"Unmatched",IF(O135&gt;1,"Ambiguous","Matched"))</x:f>
        <x:v>Matched</x:v>
      </x:c>
      <x:c r="Q135" s="4" t="str">
        <x:f>IF(O135&lt;&gt;1,P135,INDEX(Products!$C$7:$C$66,MATCH(N135,Products!$A$7:$A$66,0)))</x:f>
        <x:v>Kitchen</x:v>
      </x:c>
    </x:row>
    <x:row r="136" ht="22" customHeight="1">
      <x:c r="A136" s="4" t="str">
        <x:v>L2025-020961</x:v>
      </x:c>
      <x:c r="B136" s="4" t="str">
        <x:v>O2025-08385</x:v>
      </x:c>
      <x:c r="C136" s="9" t="n">
        <x:v>45913</x:v>
      </x:c>
      <x:c r="D136" s="4" t="str">
        <x:v>S02</x:v>
      </x:c>
      <x:c r="E136" s="4" t="str">
        <x:v>P040</x:v>
      </x:c>
      <x:c r="F136" s="4" t="str">
        <x:f>IF(O136&lt;&gt;1,P136,_xlfn.XLOOKUP(N136,Products!$A$7:$A$66,Products!$B$7:$B$66,"Unmatched",0))</x:f>
        <x:v>Toothbrush pack</x:v>
      </x:c>
      <x:c r="G136" s="4" t="str">
        <x:f>IF(O136&lt;&gt;1,P136,_xlfn.XLOOKUP(N136,Products!$A$7:$A$66,Products!$C$7:$C$66,"Unmatched",0))</x:f>
        <x:v>Personal care</x:v>
      </x:c>
      <x:c r="H136" s="10" t="n">
        <x:v>4</x:v>
      </x:c>
      <x:c r="I136" s="11" t="n">
        <x:v>224</x:v>
      </x:c>
      <x:c r="J136" s="11" t="n">
        <x:v>134.4</x:v>
      </x:c>
      <x:c r="K136" s="11" t="n">
        <x:v>143.36</x:v>
      </x:c>
      <x:c r="L136" s="11" t="n">
        <x:v>896</x:v>
      </x:c>
      <x:c r="M136" s="11" t="n">
        <x:v>761.6</x:v>
      </x:c>
      <x:c r="N136" s="4" t="str">
        <x:f>IF(ISNUMBER(E136),"P"&amp;TEXT(E136,"000"),TRIM(E136))</x:f>
        <x:v>P040</x:v>
      </x:c>
      <x:c r="O136" s="4" t="n">
        <x:f>COUNTIFS(Products!$A$7:$A$66,N136)</x:f>
        <x:v>1</x:v>
      </x:c>
      <x:c r="P136" s="4" t="str">
        <x:f>IF(O136=0,"Unmatched",IF(O136&gt;1,"Ambiguous","Matched"))</x:f>
        <x:v>Matched</x:v>
      </x:c>
      <x:c r="Q136" s="4" t="str">
        <x:f>IF(O136&lt;&gt;1,P136,INDEX(Products!$C$7:$C$66,MATCH(N136,Products!$A$7:$A$66,0)))</x:f>
        <x:v>Personal care</x:v>
      </x:c>
    </x:row>
    <x:row r="137" ht="22" customHeight="1">
      <x:c r="A137" s="4" t="str">
        <x:v>L2025-020962</x:v>
      </x:c>
      <x:c r="B137" s="4" t="str">
        <x:v>O2025-08385</x:v>
      </x:c>
      <x:c r="C137" s="9" t="n">
        <x:v>45913</x:v>
      </x:c>
      <x:c r="D137" s="4" t="str">
        <x:v>S02</x:v>
      </x:c>
      <x:c r="E137" s="4" t="str">
        <x:v>P052</x:v>
      </x:c>
      <x:c r="F137" s="4" t="str">
        <x:f>IF(O137&lt;&gt;1,P137,_xlfn.XLOOKUP(N137,Products!$A$7:$A$66,Products!$B$7:$B$66,"Unmatched",0))</x:f>
        <x:v>USB hub</x:v>
      </x:c>
      <x:c r="G137" s="4" t="str">
        <x:f>IF(O137&lt;&gt;1,P137,_xlfn.XLOOKUP(N137,Products!$A$7:$A$66,Products!$C$7:$C$66,"Unmatched",0))</x:f>
        <x:v>Electronics</x:v>
      </x:c>
      <x:c r="H137" s="10" t="n">
        <x:v>4</x:v>
      </x:c>
      <x:c r="I137" s="11" t="n">
        <x:v>2000</x:v>
      </x:c>
      <x:c r="J137" s="11" t="n">
        <x:v>0</x:v>
      </x:c>
      <x:c r="K137" s="11" t="n">
        <x:v>1680</x:v>
      </x:c>
      <x:c r="L137" s="11" t="n">
        <x:v>8000</x:v>
      </x:c>
      <x:c r="M137" s="11" t="n">
        <x:v>8000</x:v>
      </x:c>
      <x:c r="N137" s="4" t="str">
        <x:f>IF(ISNUMBER(E137),"P"&amp;TEXT(E137,"000"),TRIM(E137))</x:f>
        <x:v>P052</x:v>
      </x:c>
      <x:c r="O137" s="4" t="n">
        <x:f>COUNTIFS(Products!$A$7:$A$66,N137)</x:f>
        <x:v>1</x:v>
      </x:c>
      <x:c r="P137" s="4" t="str">
        <x:f>IF(O137=0,"Unmatched",IF(O137&gt;1,"Ambiguous","Matched"))</x:f>
        <x:v>Matched</x:v>
      </x:c>
      <x:c r="Q137" s="4" t="str">
        <x:f>IF(O137&lt;&gt;1,P137,INDEX(Products!$C$7:$C$66,MATCH(N137,Products!$A$7:$A$66,0)))</x:f>
        <x:v>Electronics</x:v>
      </x:c>
    </x:row>
    <x:row r="138" ht="22" customHeight="1">
      <x:c r="A138" s="4" t="str">
        <x:v>L2025-021453</x:v>
      </x:c>
      <x:c r="B138" s="4" t="str">
        <x:v>O2025-08582</x:v>
      </x:c>
      <x:c r="C138" s="9" t="n">
        <x:v>45919</x:v>
      </x:c>
      <x:c r="D138" s="4" t="str">
        <x:v>S05</x:v>
      </x:c>
      <x:c r="E138" s="4" t="str">
        <x:v>P012</x:v>
      </x:c>
      <x:c r="F138" s="4" t="str">
        <x:f>IF(O138&lt;&gt;1,P138,_xlfn.XLOOKUP(N138,Products!$A$7:$A$66,Products!$B$7:$B$66,"Unmatched",0))</x:f>
        <x:v>Kettle</x:v>
      </x:c>
      <x:c r="G138" s="4" t="str">
        <x:f>IF(O138&lt;&gt;1,P138,_xlfn.XLOOKUP(N138,Products!$A$7:$A$66,Products!$C$7:$C$66,"Unmatched",0))</x:f>
        <x:v>Kitchen</x:v>
      </x:c>
      <x:c r="H138" s="10" t="n">
        <x:v>2</x:v>
      </x:c>
      <x:c r="I138" s="11" t="n">
        <x:v>576</x:v>
      </x:c>
      <x:c r="J138" s="11" t="n">
        <x:v>0</x:v>
      </x:c>
      <x:c r="K138" s="11" t="n">
        <x:v>345.6</x:v>
      </x:c>
      <x:c r="L138" s="11" t="n">
        <x:v>1152</x:v>
      </x:c>
      <x:c r="M138" s="11" t="n">
        <x:v>1152</x:v>
      </x:c>
      <x:c r="N138" s="4" t="str">
        <x:f>IF(ISNUMBER(E138),"P"&amp;TEXT(E138,"000"),TRIM(E138))</x:f>
        <x:v>P012</x:v>
      </x:c>
      <x:c r="O138" s="4" t="n">
        <x:f>COUNTIFS(Products!$A$7:$A$66,N138)</x:f>
        <x:v>1</x:v>
      </x:c>
      <x:c r="P138" s="4" t="str">
        <x:f>IF(O138=0,"Unmatched",IF(O138&gt;1,"Ambiguous","Matched"))</x:f>
        <x:v>Matched</x:v>
      </x:c>
      <x:c r="Q138" s="4" t="str">
        <x:f>IF(O138&lt;&gt;1,P138,INDEX(Products!$C$7:$C$66,MATCH(N138,Products!$A$7:$A$66,0)))</x:f>
        <x:v>Kitchen</x:v>
      </x:c>
    </x:row>
    <x:row r="139" ht="22" customHeight="1">
      <x:c r="A139" s="4" t="str">
        <x:v>L2025-021454</x:v>
      </x:c>
      <x:c r="B139" s="4" t="str">
        <x:v>O2025-08582</x:v>
      </x:c>
      <x:c r="C139" s="9" t="n">
        <x:v>45919</x:v>
      </x:c>
      <x:c r="D139" s="4" t="str">
        <x:v>S05</x:v>
      </x:c>
      <x:c r="E139" s="4" t="str">
        <x:v>P029</x:v>
      </x:c>
      <x:c r="F139" s="4" t="str">
        <x:f>IF(O139&lt;&gt;1,P139,_xlfn.XLOOKUP(N139,Products!$A$7:$A$66,Products!$B$7:$B$66,"Unmatched",0))</x:f>
        <x:v>Ruler</x:v>
      </x:c>
      <x:c r="G139" s="4" t="str">
        <x:f>IF(O139&lt;&gt;1,P139,_xlfn.XLOOKUP(N139,Products!$A$7:$A$66,Products!$C$7:$C$66,"Unmatched",0))</x:f>
        <x:v>Stationery</x:v>
      </x:c>
      <x:c r="H139" s="10" t="n">
        <x:v>4</x:v>
      </x:c>
      <x:c r="I139" s="11" t="n">
        <x:v>90</x:v>
      </x:c>
      <x:c r="J139" s="11" t="n">
        <x:v>0</x:v>
      </x:c>
      <x:c r="K139" s="11" t="n">
        <x:v>46.8</x:v>
      </x:c>
      <x:c r="L139" s="11" t="n">
        <x:v>360</x:v>
      </x:c>
      <x:c r="M139" s="11" t="n">
        <x:v>360</x:v>
      </x:c>
      <x:c r="N139" s="4" t="str">
        <x:f>IF(ISNUMBER(E139),"P"&amp;TEXT(E139,"000"),TRIM(E139))</x:f>
        <x:v>P029</x:v>
      </x:c>
      <x:c r="O139" s="4" t="n">
        <x:f>COUNTIFS(Products!$A$7:$A$66,N139)</x:f>
        <x:v>1</x:v>
      </x:c>
      <x:c r="P139" s="4" t="str">
        <x:f>IF(O139=0,"Unmatched",IF(O139&gt;1,"Ambiguous","Matched"))</x:f>
        <x:v>Matched</x:v>
      </x:c>
      <x:c r="Q139" s="4" t="str">
        <x:f>IF(O139&lt;&gt;1,P139,INDEX(Products!$C$7:$C$66,MATCH(N139,Products!$A$7:$A$66,0)))</x:f>
        <x:v>Stationery</x:v>
      </x:c>
    </x:row>
    <x:row r="140" ht="22" customHeight="1">
      <x:c r="A140" s="4" t="str">
        <x:v>L2025-021455</x:v>
      </x:c>
      <x:c r="B140" s="4" t="str">
        <x:v>O2025-08582</x:v>
      </x:c>
      <x:c r="C140" s="9" t="n">
        <x:v>45919</x:v>
      </x:c>
      <x:c r="D140" s="4" t="str">
        <x:v>S05</x:v>
      </x:c>
      <x:c r="E140" s="4" t="str">
        <x:v>P052</x:v>
      </x:c>
      <x:c r="F140" s="4" t="str">
        <x:f>IF(O140&lt;&gt;1,P140,_xlfn.XLOOKUP(N140,Products!$A$7:$A$66,Products!$B$7:$B$66,"Unmatched",0))</x:f>
        <x:v>USB hub</x:v>
      </x:c>
      <x:c r="G140" s="4" t="str">
        <x:f>IF(O140&lt;&gt;1,P140,_xlfn.XLOOKUP(N140,Products!$A$7:$A$66,Products!$C$7:$C$66,"Unmatched",0))</x:f>
        <x:v>Electronics</x:v>
      </x:c>
      <x:c r="H140" s="10" t="n">
        <x:v>1</x:v>
      </x:c>
      <x:c r="I140" s="11" t="n">
        <x:v>2000</x:v>
      </x:c>
      <x:c r="J140" s="11" t="n">
        <x:v>100</x:v>
      </x:c>
      <x:c r="K140" s="11" t="n">
        <x:v>1680</x:v>
      </x:c>
      <x:c r="L140" s="11" t="n">
        <x:v>2000</x:v>
      </x:c>
      <x:c r="M140" s="11" t="n">
        <x:v>1900</x:v>
      </x:c>
      <x:c r="N140" s="4" t="str">
        <x:f>IF(ISNUMBER(E140),"P"&amp;TEXT(E140,"000"),TRIM(E140))</x:f>
        <x:v>P052</x:v>
      </x:c>
      <x:c r="O140" s="4" t="n">
        <x:f>COUNTIFS(Products!$A$7:$A$66,N140)</x:f>
        <x:v>1</x:v>
      </x:c>
      <x:c r="P140" s="4" t="str">
        <x:f>IF(O140=0,"Unmatched",IF(O140&gt;1,"Ambiguous","Matched"))</x:f>
        <x:v>Matched</x:v>
      </x:c>
      <x:c r="Q140" s="4" t="str">
        <x:f>IF(O140&lt;&gt;1,P140,INDEX(Products!$C$7:$C$66,MATCH(N140,Products!$A$7:$A$66,0)))</x:f>
        <x:v>Electronics</x:v>
      </x:c>
    </x:row>
    <x:row r="141" ht="22" customHeight="1">
      <x:c r="A141" s="4" t="str">
        <x:v>L2025-021946</x:v>
      </x:c>
      <x:c r="B141" s="4" t="str">
        <x:v>O2025-08779</x:v>
      </x:c>
      <x:c r="C141" s="9" t="n">
        <x:v>45924</x:v>
      </x:c>
      <x:c r="D141" s="4" t="str">
        <x:v>S01</x:v>
      </x:c>
      <x:c r="E141" s="4" t="str">
        <x:v>P056</x:v>
      </x:c>
      <x:c r="F141" s="4" t="str">
        <x:f>IF(O141&lt;&gt;1,P141,_xlfn.XLOOKUP(N141,Products!$A$7:$A$66,Products!$B$7:$B$66,"Unmatched",0))</x:f>
        <x:v>Speaker</x:v>
      </x:c>
      <x:c r="G141" s="4" t="str">
        <x:f>IF(O141&lt;&gt;1,P141,_xlfn.XLOOKUP(N141,Products!$A$7:$A$66,Products!$C$7:$C$66,"Unmatched",0))</x:f>
        <x:v>Electronics</x:v>
      </x:c>
      <x:c r="H141" s="10" t="n">
        <x:v>4</x:v>
      </x:c>
      <x:c r="I141" s="11" t="n">
        <x:v>3000</x:v>
      </x:c>
      <x:c r="J141" s="11" t="n">
        <x:v>0</x:v>
      </x:c>
      <x:c r="K141" s="11" t="n">
        <x:v>2520</x:v>
      </x:c>
      <x:c r="L141" s="11" t="n">
        <x:v>12000</x:v>
      </x:c>
      <x:c r="M141" s="11" t="n">
        <x:v>12000</x:v>
      </x:c>
      <x:c r="N141" s="4" t="str">
        <x:f>IF(ISNUMBER(E141),"P"&amp;TEXT(E141,"000"),TRIM(E141))</x:f>
        <x:v>P056</x:v>
      </x:c>
      <x:c r="O141" s="4" t="n">
        <x:f>COUNTIFS(Products!$A$7:$A$66,N141)</x:f>
        <x:v>1</x:v>
      </x:c>
      <x:c r="P141" s="4" t="str">
        <x:f>IF(O141=0,"Unmatched",IF(O141&gt;1,"Ambiguous","Matched"))</x:f>
        <x:v>Matched</x:v>
      </x:c>
      <x:c r="Q141" s="4" t="str">
        <x:f>IF(O141&lt;&gt;1,P141,INDEX(Products!$C$7:$C$66,MATCH(N141,Products!$A$7:$A$66,0)))</x:f>
        <x:v>Electronics</x:v>
      </x:c>
    </x:row>
    <x:row r="142" ht="22" customHeight="1">
      <x:c r="A142" s="4" t="str">
        <x:v>L2025-021947</x:v>
      </x:c>
      <x:c r="B142" s="4" t="str">
        <x:v>O2025-08779</x:v>
      </x:c>
      <x:c r="C142" s="9" t="n">
        <x:v>45924</x:v>
      </x:c>
      <x:c r="D142" s="4" t="str">
        <x:v>S01</x:v>
      </x:c>
      <x:c r="E142" s="4" t="str">
        <x:v>P037</x:v>
      </x:c>
      <x:c r="F142" s="4" t="str">
        <x:f>IF(O142&lt;&gt;1,P142,_xlfn.XLOOKUP(N142,Products!$A$7:$A$66,Products!$B$7:$B$66,"Unmatched",0))</x:f>
        <x:v>Soap pack</x:v>
      </x:c>
      <x:c r="G142" s="4" t="str">
        <x:f>IF(O142&lt;&gt;1,P142,_xlfn.XLOOKUP(N142,Products!$A$7:$A$66,Products!$C$7:$C$66,"Unmatched",0))</x:f>
        <x:v>Personal care</x:v>
      </x:c>
      <x:c r="H142" s="10" t="n">
        <x:v>1</x:v>
      </x:c>
      <x:c r="I142" s="11" t="n">
        <x:v>140</x:v>
      </x:c>
      <x:c r="J142" s="11" t="n">
        <x:v>14</x:v>
      </x:c>
      <x:c r="K142" s="11" t="n">
        <x:v>89.6</x:v>
      </x:c>
      <x:c r="L142" s="11" t="n">
        <x:v>140</x:v>
      </x:c>
      <x:c r="M142" s="11" t="n">
        <x:v>126</x:v>
      </x:c>
      <x:c r="N142" s="4" t="str">
        <x:f>IF(ISNUMBER(E142),"P"&amp;TEXT(E142,"000"),TRIM(E142))</x:f>
        <x:v>P037</x:v>
      </x:c>
      <x:c r="O142" s="4" t="n">
        <x:f>COUNTIFS(Products!$A$7:$A$66,N142)</x:f>
        <x:v>1</x:v>
      </x:c>
      <x:c r="P142" s="4" t="str">
        <x:f>IF(O142=0,"Unmatched",IF(O142&gt;1,"Ambiguous","Matched"))</x:f>
        <x:v>Matched</x:v>
      </x:c>
      <x:c r="Q142" s="4" t="str">
        <x:f>IF(O142&lt;&gt;1,P142,INDEX(Products!$C$7:$C$66,MATCH(N142,Products!$A$7:$A$66,0)))</x:f>
        <x:v>Personal care</x:v>
      </x:c>
    </x:row>
    <x:row r="143" ht="22" customHeight="1">
      <x:c r="A143" s="4" t="str">
        <x:v>L2025-022438</x:v>
      </x:c>
      <x:c r="B143" s="4" t="str">
        <x:v>O2025-08976</x:v>
      </x:c>
      <x:c r="C143" s="9" t="n">
        <x:v>45930</x:v>
      </x:c>
      <x:c r="D143" s="4" t="str">
        <x:v>WEB</x:v>
      </x:c>
      <x:c r="E143" s="4" t="str">
        <x:v>P014</x:v>
      </x:c>
      <x:c r="F143" s="4" t="str">
        <x:f>IF(O143&lt;&gt;1,P143,_xlfn.XLOOKUP(N143,Products!$A$7:$A$66,Products!$B$7:$B$66,"Unmatched",0))</x:f>
        <x:v>Scrub pad</x:v>
      </x:c>
      <x:c r="G143" s="4" t="str">
        <x:f>IF(O143&lt;&gt;1,P143,_xlfn.XLOOKUP(N143,Products!$A$7:$A$66,Products!$C$7:$C$66,"Unmatched",0))</x:f>
        <x:v>Home care</x:v>
      </x:c>
      <x:c r="H143" s="10" t="n">
        <x:v>3</x:v>
      </x:c>
      <x:c r="I143" s="11" t="n">
        <x:v>144</x:v>
      </x:c>
      <x:c r="J143" s="11" t="n">
        <x:v>21.6</x:v>
      </x:c>
      <x:c r="K143" s="11" t="n">
        <x:v>89.28</x:v>
      </x:c>
      <x:c r="L143" s="11" t="n">
        <x:v>432</x:v>
      </x:c>
      <x:c r="M143" s="11" t="n">
        <x:v>410.4</x:v>
      </x:c>
      <x:c r="N143" s="4" t="str">
        <x:f>IF(ISNUMBER(E143),"P"&amp;TEXT(E143,"000"),TRIM(E143))</x:f>
        <x:v>P014</x:v>
      </x:c>
      <x:c r="O143" s="4" t="n">
        <x:f>COUNTIFS(Products!$A$7:$A$66,N143)</x:f>
        <x:v>1</x:v>
      </x:c>
      <x:c r="P143" s="4" t="str">
        <x:f>IF(O143=0,"Unmatched",IF(O143&gt;1,"Ambiguous","Matched"))</x:f>
        <x:v>Matched</x:v>
      </x:c>
      <x:c r="Q143" s="4" t="str">
        <x:f>IF(O143&lt;&gt;1,P143,INDEX(Products!$C$7:$C$66,MATCH(N143,Products!$A$7:$A$66,0)))</x:f>
        <x:v>Home care</x:v>
      </x:c>
    </x:row>
    <x:row r="144" ht="22" customHeight="1">
      <x:c r="A144" s="4" t="str">
        <x:v>L2025-022439</x:v>
      </x:c>
      <x:c r="B144" s="4" t="str">
        <x:v>O2025-08976</x:v>
      </x:c>
      <x:c r="C144" s="9" t="n">
        <x:v>45930</x:v>
      </x:c>
      <x:c r="D144" s="4" t="str">
        <x:v>WEB</x:v>
      </x:c>
      <x:c r="E144" s="4" t="str">
        <x:v>P053</x:v>
      </x:c>
      <x:c r="F144" s="4" t="str">
        <x:f>IF(O144&lt;&gt;1,P144,_xlfn.XLOOKUP(N144,Products!$A$7:$A$66,Products!$B$7:$B$66,"Unmatched",0))</x:f>
        <x:v>Desk light</x:v>
      </x:c>
      <x:c r="G144" s="4" t="str">
        <x:f>IF(O144&lt;&gt;1,P144,_xlfn.XLOOKUP(N144,Products!$A$7:$A$66,Products!$C$7:$C$66,"Unmatched",0))</x:f>
        <x:v>Electronics</x:v>
      </x:c>
      <x:c r="H144" s="10" t="n">
        <x:v>5</x:v>
      </x:c>
      <x:c r="I144" s="11" t="n">
        <x:v>2250</x:v>
      </x:c>
      <x:c r="J144" s="11" t="n">
        <x:v>562.5</x:v>
      </x:c>
      <x:c r="K144" s="11" t="n">
        <x:v>1890</x:v>
      </x:c>
      <x:c r="L144" s="11" t="n">
        <x:v>11250</x:v>
      </x:c>
      <x:c r="M144" s="11" t="n">
        <x:v>10687.5</x:v>
      </x:c>
      <x:c r="N144" s="4" t="str">
        <x:f>IF(ISNUMBER(E144),"P"&amp;TEXT(E144,"000"),TRIM(E144))</x:f>
        <x:v>P053</x:v>
      </x:c>
      <x:c r="O144" s="4" t="n">
        <x:f>COUNTIFS(Products!$A$7:$A$66,N144)</x:f>
        <x:v>1</x:v>
      </x:c>
      <x:c r="P144" s="4" t="str">
        <x:f>IF(O144=0,"Unmatched",IF(O144&gt;1,"Ambiguous","Matched"))</x:f>
        <x:v>Matched</x:v>
      </x:c>
      <x:c r="Q144" s="4" t="str">
        <x:f>IF(O144&lt;&gt;1,P144,INDEX(Products!$C$7:$C$66,MATCH(N144,Products!$A$7:$A$66,0)))</x:f>
        <x:v>Electronics</x:v>
      </x:c>
    </x:row>
    <x:row r="145" ht="22" customHeight="1">
      <x:c r="A145" s="4" t="str">
        <x:v>L2025-022440</x:v>
      </x:c>
      <x:c r="B145" s="4" t="str">
        <x:v>O2025-08976</x:v>
      </x:c>
      <x:c r="C145" s="9" t="n">
        <x:v>45930</x:v>
      </x:c>
      <x:c r="D145" s="4" t="str">
        <x:v>WEB</x:v>
      </x:c>
      <x:c r="E145" s="4" t="str">
        <x:v>P038</x:v>
      </x:c>
      <x:c r="F145" s="4" t="str">
        <x:f>IF(O145&lt;&gt;1,P145,_xlfn.XLOOKUP(N145,Products!$A$7:$A$66,Products!$B$7:$B$66,"Unmatched",0))</x:f>
        <x:v>Shampoo</x:v>
      </x:c>
      <x:c r="G145" s="4" t="str">
        <x:f>IF(O145&lt;&gt;1,P145,_xlfn.XLOOKUP(N145,Products!$A$7:$A$66,Products!$C$7:$C$66,"Unmatched",0))</x:f>
        <x:v>Personal care</x:v>
      </x:c>
      <x:c r="H145" s="10" t="n">
        <x:v>2</x:v>
      </x:c>
      <x:c r="I145" s="11" t="n">
        <x:v>168</x:v>
      </x:c>
      <x:c r="J145" s="11" t="n">
        <x:v>16.8</x:v>
      </x:c>
      <x:c r="K145" s="11" t="n">
        <x:v>107.52</x:v>
      </x:c>
      <x:c r="L145" s="11" t="n">
        <x:v>336</x:v>
      </x:c>
      <x:c r="M145" s="11" t="n">
        <x:v>319.2</x:v>
      </x:c>
      <x:c r="N145" s="4" t="str">
        <x:f>IF(ISNUMBER(E145),"P"&amp;TEXT(E145,"000"),TRIM(E145))</x:f>
        <x:v>P038</x:v>
      </x:c>
      <x:c r="O145" s="4" t="n">
        <x:f>COUNTIFS(Products!$A$7:$A$66,N145)</x:f>
        <x:v>1</x:v>
      </x:c>
      <x:c r="P145" s="4" t="str">
        <x:f>IF(O145=0,"Unmatched",IF(O145&gt;1,"Ambiguous","Matched"))</x:f>
        <x:v>Matched</x:v>
      </x:c>
      <x:c r="Q145" s="4" t="str">
        <x:f>IF(O145&lt;&gt;1,P145,INDEX(Products!$C$7:$C$66,MATCH(N145,Products!$A$7:$A$66,0)))</x:f>
        <x:v>Personal care</x:v>
      </x:c>
    </x:row>
    <x:row r="146" ht="22" customHeight="1">
      <x:c r="A146" s="4" t="str">
        <x:v>L2025-022441</x:v>
      </x:c>
      <x:c r="B146" s="4" t="str">
        <x:v>O2025-08977</x:v>
      </x:c>
      <x:c r="C146" s="9" t="n">
        <x:v>45931</x:v>
      </x:c>
      <x:c r="D146" s="4" t="str">
        <x:v>WEB</x:v>
      </x:c>
      <x:c r="E146" s="4" t="str">
        <x:v>P056</x:v>
      </x:c>
      <x:c r="F146" s="4" t="str">
        <x:f>IF(O146&lt;&gt;1,P146,_xlfn.XLOOKUP(N146,Products!$A$7:$A$66,Products!$B$7:$B$66,"Unmatched",0))</x:f>
        <x:v>Speaker</x:v>
      </x:c>
      <x:c r="G146" s="4" t="str">
        <x:f>IF(O146&lt;&gt;1,P146,_xlfn.XLOOKUP(N146,Products!$A$7:$A$66,Products!$C$7:$C$66,"Unmatched",0))</x:f>
        <x:v>Electronics</x:v>
      </x:c>
      <x:c r="H146" s="10" t="n">
        <x:v>2</x:v>
      </x:c>
      <x:c r="I146" s="11" t="n">
        <x:v>3000</x:v>
      </x:c>
      <x:c r="J146" s="11" t="n">
        <x:v>1800</x:v>
      </x:c>
      <x:c r="K146" s="11" t="n">
        <x:v>2520</x:v>
      </x:c>
      <x:c r="L146" s="11" t="n">
        <x:v>6000</x:v>
      </x:c>
      <x:c r="M146" s="11" t="n">
        <x:v>4200</x:v>
      </x:c>
      <x:c r="N146" s="4" t="str">
        <x:f>IF(ISNUMBER(E146),"P"&amp;TEXT(E146,"000"),TRIM(E146))</x:f>
        <x:v>P056</x:v>
      </x:c>
      <x:c r="O146" s="4" t="n">
        <x:f>COUNTIFS(Products!$A$7:$A$66,N146)</x:f>
        <x:v>1</x:v>
      </x:c>
      <x:c r="P146" s="4" t="str">
        <x:f>IF(O146=0,"Unmatched",IF(O146&gt;1,"Ambiguous","Matched"))</x:f>
        <x:v>Matched</x:v>
      </x:c>
      <x:c r="Q146" s="4" t="str">
        <x:f>IF(O146&lt;&gt;1,P146,INDEX(Products!$C$7:$C$66,MATCH(N146,Products!$A$7:$A$66,0)))</x:f>
        <x:v>Electronics</x:v>
      </x:c>
    </x:row>
    <x:row r="147" ht="22" customHeight="1">
      <x:c r="A147" s="4" t="str">
        <x:v>L2025-022442</x:v>
      </x:c>
      <x:c r="B147" s="4" t="str">
        <x:v>O2025-08977</x:v>
      </x:c>
      <x:c r="C147" s="9" t="n">
        <x:v>45931</x:v>
      </x:c>
      <x:c r="D147" s="4" t="str">
        <x:v>WEB</x:v>
      </x:c>
      <x:c r="E147" s="4" t="str">
        <x:v>P034</x:v>
      </x:c>
      <x:c r="F147" s="4" t="str">
        <x:f>IF(O147&lt;&gt;1,P147,_xlfn.XLOOKUP(N147,Products!$A$7:$A$66,Products!$B$7:$B$66,"Unmatched",0))</x:f>
        <x:v>Desk tray</x:v>
      </x:c>
      <x:c r="G147" s="4" t="str">
        <x:f>IF(O147&lt;&gt;1,P147,_xlfn.XLOOKUP(N147,Products!$A$7:$A$66,Products!$C$7:$C$66,"Unmatched",0))</x:f>
        <x:v>Stationery</x:v>
      </x:c>
      <x:c r="H147" s="10" t="n">
        <x:v>5</x:v>
      </x:c>
      <x:c r="I147" s="11" t="n">
        <x:v>140</x:v>
      </x:c>
      <x:c r="J147" s="11" t="n">
        <x:v>105</x:v>
      </x:c>
      <x:c r="K147" s="11" t="n">
        <x:v>72.8</x:v>
      </x:c>
      <x:c r="L147" s="11" t="n">
        <x:v>700</x:v>
      </x:c>
      <x:c r="M147" s="11" t="n">
        <x:v>595</x:v>
      </x:c>
      <x:c r="N147" s="4" t="str">
        <x:f>IF(ISNUMBER(E147),"P"&amp;TEXT(E147,"000"),TRIM(E147))</x:f>
        <x:v>P034</x:v>
      </x:c>
      <x:c r="O147" s="4" t="n">
        <x:f>COUNTIFS(Products!$A$7:$A$66,N147)</x:f>
        <x:v>1</x:v>
      </x:c>
      <x:c r="P147" s="4" t="str">
        <x:f>IF(O147=0,"Unmatched",IF(O147&gt;1,"Ambiguous","Matched"))</x:f>
        <x:v>Matched</x:v>
      </x:c>
      <x:c r="Q147" s="4" t="str">
        <x:f>IF(O147&lt;&gt;1,P147,INDEX(Products!$C$7:$C$66,MATCH(N147,Products!$A$7:$A$66,0)))</x:f>
        <x:v>Stationery</x:v>
      </x:c>
    </x:row>
    <x:row r="148" ht="22" customHeight="1">
      <x:c r="A148" s="4" t="str">
        <x:v>L2025-022948</x:v>
      </x:c>
      <x:c r="B148" s="4" t="str">
        <x:v>O2025-09180</x:v>
      </x:c>
      <x:c r="C148" s="9" t="n">
        <x:v>45937</x:v>
      </x:c>
      <x:c r="D148" s="4" t="str">
        <x:v>S01</x:v>
      </x:c>
      <x:c r="E148" s="4" t="str">
        <x:v>P050</x:v>
      </x:c>
      <x:c r="F148" s="4" t="str">
        <x:f>IF(O148&lt;&gt;1,P148,_xlfn.XLOOKUP(N148,Products!$A$7:$A$66,Products!$B$7:$B$66,"Unmatched",0))</x:f>
        <x:v>Mouse</x:v>
      </x:c>
      <x:c r="G148" s="4" t="str">
        <x:f>IF(O148&lt;&gt;1,P148,_xlfn.XLOOKUP(N148,Products!$A$7:$A$66,Products!$C$7:$C$66,"Unmatched",0))</x:f>
        <x:v>Electronics</x:v>
      </x:c>
      <x:c r="H148" s="10" t="n">
        <x:v>2</x:v>
      </x:c>
      <x:c r="I148" s="11" t="n">
        <x:v>1500</x:v>
      </x:c>
      <x:c r="J148" s="11" t="n">
        <x:v>900</x:v>
      </x:c>
      <x:c r="K148" s="11" t="n">
        <x:v>1260</x:v>
      </x:c>
      <x:c r="L148" s="11" t="n">
        <x:v>3000</x:v>
      </x:c>
      <x:c r="M148" s="11" t="n">
        <x:v>2100</x:v>
      </x:c>
      <x:c r="N148" s="4" t="str">
        <x:f>IF(ISNUMBER(E148),"P"&amp;TEXT(E148,"000"),TRIM(E148))</x:f>
        <x:v>P050</x:v>
      </x:c>
      <x:c r="O148" s="4" t="n">
        <x:f>COUNTIFS(Products!$A$7:$A$66,N148)</x:f>
        <x:v>1</x:v>
      </x:c>
      <x:c r="P148" s="4" t="str">
        <x:f>IF(O148=0,"Unmatched",IF(O148&gt;1,"Ambiguous","Matched"))</x:f>
        <x:v>Matched</x:v>
      </x:c>
      <x:c r="Q148" s="4" t="str">
        <x:f>IF(O148&lt;&gt;1,P148,INDEX(Products!$C$7:$C$66,MATCH(N148,Products!$A$7:$A$66,0)))</x:f>
        <x:v>Electronics</x:v>
      </x:c>
    </x:row>
    <x:row r="149" ht="22" customHeight="1">
      <x:c r="A149" s="4" t="str">
        <x:v>L2025-022949</x:v>
      </x:c>
      <x:c r="B149" s="4" t="str">
        <x:v>O2025-09180</x:v>
      </x:c>
      <x:c r="C149" s="9" t="n">
        <x:v>45937</x:v>
      </x:c>
      <x:c r="D149" s="4" t="str">
        <x:v>S01</x:v>
      </x:c>
      <x:c r="E149" s="4" t="str">
        <x:v>P039</x:v>
      </x:c>
      <x:c r="F149" s="4" t="str">
        <x:f>IF(O149&lt;&gt;1,P149,_xlfn.XLOOKUP(N149,Products!$A$7:$A$66,Products!$B$7:$B$66,"Unmatched",0))</x:f>
        <x:v>Hand wash</x:v>
      </x:c>
      <x:c r="G149" s="4" t="str">
        <x:f>IF(O149&lt;&gt;1,P149,_xlfn.XLOOKUP(N149,Products!$A$7:$A$66,Products!$C$7:$C$66,"Unmatched",0))</x:f>
        <x:v>Personal care</x:v>
      </x:c>
      <x:c r="H149" s="10" t="n">
        <x:v>1</x:v>
      </x:c>
      <x:c r="I149" s="11" t="n">
        <x:v>196</x:v>
      </x:c>
      <x:c r="J149" s="11" t="n">
        <x:v>19.6</x:v>
      </x:c>
      <x:c r="K149" s="11" t="n">
        <x:v>125.44</x:v>
      </x:c>
      <x:c r="L149" s="11" t="n">
        <x:v>196</x:v>
      </x:c>
      <x:c r="M149" s="11" t="n">
        <x:v>176.4</x:v>
      </x:c>
      <x:c r="N149" s="4" t="str">
        <x:f>IF(ISNUMBER(E149),"P"&amp;TEXT(E149,"000"),TRIM(E149))</x:f>
        <x:v>P039</x:v>
      </x:c>
      <x:c r="O149" s="4" t="n">
        <x:f>COUNTIFS(Products!$A$7:$A$66,N149)</x:f>
        <x:v>1</x:v>
      </x:c>
      <x:c r="P149" s="4" t="str">
        <x:f>IF(O149=0,"Unmatched",IF(O149&gt;1,"Ambiguous","Matched"))</x:f>
        <x:v>Matched</x:v>
      </x:c>
      <x:c r="Q149" s="4" t="str">
        <x:f>IF(O149&lt;&gt;1,P149,INDEX(Products!$C$7:$C$66,MATCH(N149,Products!$A$7:$A$66,0)))</x:f>
        <x:v>Personal care</x:v>
      </x:c>
    </x:row>
    <x:row r="150" ht="22" customHeight="1">
      <x:c r="A150" s="4" t="str">
        <x:v>L2025-022950</x:v>
      </x:c>
      <x:c r="B150" s="4" t="str">
        <x:v>O2025-09180</x:v>
      </x:c>
      <x:c r="C150" s="9" t="n">
        <x:v>45937</x:v>
      </x:c>
      <x:c r="D150" s="4" t="str">
        <x:v>S01</x:v>
      </x:c>
      <x:c r="E150" s="4" t="str">
        <x:v>P060</x:v>
      </x:c>
      <x:c r="F150" s="4" t="str">
        <x:f>IF(O150&lt;&gt;1,P150,_xlfn.XLOOKUP(N150,Products!$A$7:$A$66,Products!$B$7:$B$66,"Unmatched",0))</x:f>
        <x:v>Tablet</x:v>
      </x:c>
      <x:c r="G150" s="4" t="str">
        <x:f>IF(O150&lt;&gt;1,P150,_xlfn.XLOOKUP(N150,Products!$A$7:$A$66,Products!$C$7:$C$66,"Unmatched",0))</x:f>
        <x:v>Electronics</x:v>
      </x:c>
      <x:c r="H150" s="10" t="n">
        <x:v>1</x:v>
      </x:c>
      <x:c r="I150" s="11" t="n">
        <x:v>4000</x:v>
      </x:c>
      <x:c r="J150" s="11" t="n">
        <x:v>600</x:v>
      </x:c>
      <x:c r="K150" s="11" t="n">
        <x:v>3360</x:v>
      </x:c>
      <x:c r="L150" s="11" t="n">
        <x:v>4000</x:v>
      </x:c>
      <x:c r="M150" s="11" t="n">
        <x:v>3400</x:v>
      </x:c>
      <x:c r="N150" s="4" t="str">
        <x:f>IF(ISNUMBER(E150),"P"&amp;TEXT(E150,"000"),TRIM(E150))</x:f>
        <x:v>P060</x:v>
      </x:c>
      <x:c r="O150" s="4" t="n">
        <x:f>COUNTIFS(Products!$A$7:$A$66,N150)</x:f>
        <x:v>1</x:v>
      </x:c>
      <x:c r="P150" s="4" t="str">
        <x:f>IF(O150=0,"Unmatched",IF(O150&gt;1,"Ambiguous","Matched"))</x:f>
        <x:v>Matched</x:v>
      </x:c>
      <x:c r="Q150" s="4" t="str">
        <x:f>IF(O150&lt;&gt;1,P150,INDEX(Products!$C$7:$C$66,MATCH(N150,Products!$A$7:$A$66,0)))</x:f>
        <x:v>Electronics</x:v>
      </x:c>
    </x:row>
    <x:row r="151" ht="22" customHeight="1">
      <x:c r="A151" s="4" t="str">
        <x:v>L2025-023458</x:v>
      </x:c>
      <x:c r="B151" s="4" t="str">
        <x:v>O2025-09384</x:v>
      </x:c>
      <x:c r="C151" s="9" t="n">
        <x:v>45943</x:v>
      </x:c>
      <x:c r="D151" s="4" t="str">
        <x:v>S01</x:v>
      </x:c>
      <x:c r="E151" s="4" t="str">
        <x:v>P042</x:v>
      </x:c>
      <x:c r="F151" s="4" t="str">
        <x:f>IF(O151&lt;&gt;1,P151,_xlfn.XLOOKUP(N151,Products!$A$7:$A$66,Products!$B$7:$B$66,"Unmatched",0))</x:f>
        <x:v>Comb</x:v>
      </x:c>
      <x:c r="G151" s="4" t="str">
        <x:f>IF(O151&lt;&gt;1,P151,_xlfn.XLOOKUP(N151,Products!$A$7:$A$66,Products!$C$7:$C$66,"Unmatched",0))</x:f>
        <x:v>Personal care</x:v>
      </x:c>
      <x:c r="H151" s="10" t="n">
        <x:v>4</x:v>
      </x:c>
      <x:c r="I151" s="11" t="n">
        <x:v>280</x:v>
      </x:c>
      <x:c r="J151" s="11" t="n">
        <x:v>280</x:v>
      </x:c>
      <x:c r="K151" s="11" t="n">
        <x:v>179.2</x:v>
      </x:c>
      <x:c r="L151" s="11" t="n">
        <x:v>1120</x:v>
      </x:c>
      <x:c r="M151" s="11" t="n">
        <x:v>840</x:v>
      </x:c>
      <x:c r="N151" s="4" t="str">
        <x:f>IF(ISNUMBER(E151),"P"&amp;TEXT(E151,"000"),TRIM(E151))</x:f>
        <x:v>P042</x:v>
      </x:c>
      <x:c r="O151" s="4" t="n">
        <x:f>COUNTIFS(Products!$A$7:$A$66,N151)</x:f>
        <x:v>1</x:v>
      </x:c>
      <x:c r="P151" s="4" t="str">
        <x:f>IF(O151=0,"Unmatched",IF(O151&gt;1,"Ambiguous","Matched"))</x:f>
        <x:v>Matched</x:v>
      </x:c>
      <x:c r="Q151" s="4" t="str">
        <x:f>IF(O151&lt;&gt;1,P151,INDEX(Products!$C$7:$C$66,MATCH(N151,Products!$A$7:$A$66,0)))</x:f>
        <x:v>Personal care</x:v>
      </x:c>
    </x:row>
    <x:row r="152" ht="22" customHeight="1">
      <x:c r="A152" s="4" t="str">
        <x:v>L2025-023459</x:v>
      </x:c>
      <x:c r="B152" s="4" t="str">
        <x:v>O2025-09384</x:v>
      </x:c>
      <x:c r="C152" s="9" t="n">
        <x:v>45943</x:v>
      </x:c>
      <x:c r="D152" s="4" t="str">
        <x:v>S01</x:v>
      </x:c>
      <x:c r="E152" s="4" t="str">
        <x:v>P047</x:v>
      </x:c>
      <x:c r="F152" s="4" t="str">
        <x:f>IF(O152&lt;&gt;1,P152,_xlfn.XLOOKUP(N152,Products!$A$7:$A$66,Products!$B$7:$B$66,"Unmatched",0))</x:f>
        <x:v>Grooming kit</x:v>
      </x:c>
      <x:c r="G152" s="4" t="str">
        <x:f>IF(O152&lt;&gt;1,P152,_xlfn.XLOOKUP(N152,Products!$A$7:$A$66,Products!$C$7:$C$66,"Unmatched",0))</x:f>
        <x:v>Personal care</x:v>
      </x:c>
      <x:c r="H152" s="10" t="n">
        <x:v>4</x:v>
      </x:c>
      <x:c r="I152" s="11" t="n">
        <x:v>420</x:v>
      </x:c>
      <x:c r="J152" s="11" t="n">
        <x:v>336</x:v>
      </x:c>
      <x:c r="K152" s="11" t="n">
        <x:v>268.8</x:v>
      </x:c>
      <x:c r="L152" s="11" t="n">
        <x:v>1680</x:v>
      </x:c>
      <x:c r="M152" s="11" t="n">
        <x:v>1344</x:v>
      </x:c>
      <x:c r="N152" s="4" t="str">
        <x:f>IF(ISNUMBER(E152),"P"&amp;TEXT(E152,"000"),TRIM(E152))</x:f>
        <x:v>P047</x:v>
      </x:c>
      <x:c r="O152" s="4" t="n">
        <x:f>COUNTIFS(Products!$A$7:$A$66,N152)</x:f>
        <x:v>1</x:v>
      </x:c>
      <x:c r="P152" s="4" t="str">
        <x:f>IF(O152=0,"Unmatched",IF(O152&gt;1,"Ambiguous","Matched"))</x:f>
        <x:v>Matched</x:v>
      </x:c>
      <x:c r="Q152" s="4" t="str">
        <x:f>IF(O152&lt;&gt;1,P152,INDEX(Products!$C$7:$C$66,MATCH(N152,Products!$A$7:$A$66,0)))</x:f>
        <x:v>Personal care</x:v>
      </x:c>
    </x:row>
    <x:row r="153" ht="22" customHeight="1">
      <x:c r="A153" s="4" t="str">
        <x:v>L2025-023460</x:v>
      </x:c>
      <x:c r="B153" s="4" t="str">
        <x:v>O2025-09384</x:v>
      </x:c>
      <x:c r="C153" s="9" t="n">
        <x:v>45943</x:v>
      </x:c>
      <x:c r="D153" s="4" t="str">
        <x:v>S01</x:v>
      </x:c>
      <x:c r="E153" s="4" t="str">
        <x:v>P048</x:v>
      </x:c>
      <x:c r="F153" s="4" t="str">
        <x:f>IF(O153&lt;&gt;1,P153,_xlfn.XLOOKUP(N153,Products!$A$7:$A$66,Products!$B$7:$B$66,"Unmatched",0))</x:f>
        <x:v>Bath towel</x:v>
      </x:c>
      <x:c r="G153" s="4" t="str">
        <x:f>IF(O153&lt;&gt;1,P153,_xlfn.XLOOKUP(N153,Products!$A$7:$A$66,Products!$C$7:$C$66,"Unmatched",0))</x:f>
        <x:v>Personal care</x:v>
      </x:c>
      <x:c r="H153" s="10" t="n">
        <x:v>3</x:v>
      </x:c>
      <x:c r="I153" s="11" t="n">
        <x:v>448</x:v>
      </x:c>
      <x:c r="J153" s="11" t="n">
        <x:v>134.4</x:v>
      </x:c>
      <x:c r="K153" s="11" t="n">
        <x:v>286.72</x:v>
      </x:c>
      <x:c r="L153" s="11" t="n">
        <x:v>1344</x:v>
      </x:c>
      <x:c r="M153" s="11" t="n">
        <x:v>1209.6</x:v>
      </x:c>
      <x:c r="N153" s="4" t="str">
        <x:f>IF(ISNUMBER(E153),"P"&amp;TEXT(E153,"000"),TRIM(E153))</x:f>
        <x:v>P048</x:v>
      </x:c>
      <x:c r="O153" s="4" t="n">
        <x:f>COUNTIFS(Products!$A$7:$A$66,N153)</x:f>
        <x:v>1</x:v>
      </x:c>
      <x:c r="P153" s="4" t="str">
        <x:f>IF(O153=0,"Unmatched",IF(O153&gt;1,"Ambiguous","Matched"))</x:f>
        <x:v>Matched</x:v>
      </x:c>
      <x:c r="Q153" s="4" t="str">
        <x:f>IF(O153&lt;&gt;1,P153,INDEX(Products!$C$7:$C$66,MATCH(N153,Products!$A$7:$A$66,0)))</x:f>
        <x:v>Personal care</x:v>
      </x:c>
    </x:row>
    <x:row r="154" ht="22" customHeight="1">
      <x:c r="A154" s="4" t="str">
        <x:v>L2025-023966</x:v>
      </x:c>
      <x:c r="B154" s="4" t="str">
        <x:v>O2025-09587</x:v>
      </x:c>
      <x:c r="C154" s="9" t="n">
        <x:v>45949</x:v>
      </x:c>
      <x:c r="D154" s="4" t="str">
        <x:v>S04</x:v>
      </x:c>
      <x:c r="E154" s="4" t="str">
        <x:v>P029</x:v>
      </x:c>
      <x:c r="F154" s="4" t="str">
        <x:f>IF(O154&lt;&gt;1,P154,_xlfn.XLOOKUP(N154,Products!$A$7:$A$66,Products!$B$7:$B$66,"Unmatched",0))</x:f>
        <x:v>Ruler</x:v>
      </x:c>
      <x:c r="G154" s="4" t="str">
        <x:f>IF(O154&lt;&gt;1,P154,_xlfn.XLOOKUP(N154,Products!$A$7:$A$66,Products!$C$7:$C$66,"Unmatched",0))</x:f>
        <x:v>Stationery</x:v>
      </x:c>
      <x:c r="H154" s="10" t="n">
        <x:v>5</x:v>
      </x:c>
      <x:c r="I154" s="11" t="n">
        <x:v>90</x:v>
      </x:c>
      <x:c r="J154" s="11" t="n">
        <x:v>67.5</x:v>
      </x:c>
      <x:c r="K154" s="11" t="n">
        <x:v>46.8</x:v>
      </x:c>
      <x:c r="L154" s="11" t="n">
        <x:v>450</x:v>
      </x:c>
      <x:c r="M154" s="11" t="n">
        <x:v>382.5</x:v>
      </x:c>
      <x:c r="N154" s="4" t="str">
        <x:f>IF(ISNUMBER(E154),"P"&amp;TEXT(E154,"000"),TRIM(E154))</x:f>
        <x:v>P029</x:v>
      </x:c>
      <x:c r="O154" s="4" t="n">
        <x:f>COUNTIFS(Products!$A$7:$A$66,N154)</x:f>
        <x:v>1</x:v>
      </x:c>
      <x:c r="P154" s="4" t="str">
        <x:f>IF(O154=0,"Unmatched",IF(O154&gt;1,"Ambiguous","Matched"))</x:f>
        <x:v>Matched</x:v>
      </x:c>
      <x:c r="Q154" s="4" t="str">
        <x:f>IF(O154&lt;&gt;1,P154,INDEX(Products!$C$7:$C$66,MATCH(N154,Products!$A$7:$A$66,0)))</x:f>
        <x:v>Stationery</x:v>
      </x:c>
    </x:row>
    <x:row r="155" ht="22" customHeight="1">
      <x:c r="A155" s="4" t="str">
        <x:v>L2025-023967</x:v>
      </x:c>
      <x:c r="B155" s="4" t="str">
        <x:v>O2025-09587</x:v>
      </x:c>
      <x:c r="C155" s="9" t="n">
        <x:v>45949</x:v>
      </x:c>
      <x:c r="D155" s="4" t="str">
        <x:v>S04</x:v>
      </x:c>
      <x:c r="E155" s="4" t="str">
        <x:v>P017</x:v>
      </x:c>
      <x:c r="F155" s="4" t="str">
        <x:f>IF(O155&lt;&gt;1,P155,_xlfn.XLOOKUP(N155,Products!$A$7:$A$66,Products!$B$7:$B$66,"Unmatched",0))</x:f>
        <x:v>Laundry bag</x:v>
      </x:c>
      <x:c r="G155" s="4" t="str">
        <x:f>IF(O155&lt;&gt;1,P155,_xlfn.XLOOKUP(N155,Products!$A$7:$A$66,Products!$C$7:$C$66,"Unmatched",0))</x:f>
        <x:v>Home care</x:v>
      </x:c>
      <x:c r="H155" s="10" t="n">
        <x:v>1</x:v>
      </x:c>
      <x:c r="I155" s="11" t="n">
        <x:v>216</x:v>
      </x:c>
      <x:c r="J155" s="11" t="n">
        <x:v>21.6</x:v>
      </x:c>
      <x:c r="K155" s="11" t="n">
        <x:v>133.92</x:v>
      </x:c>
      <x:c r="L155" s="11" t="n">
        <x:v>216</x:v>
      </x:c>
      <x:c r="M155" s="11" t="n">
        <x:v>194.4</x:v>
      </x:c>
      <x:c r="N155" s="4" t="str">
        <x:f>IF(ISNUMBER(E155),"P"&amp;TEXT(E155,"000"),TRIM(E155))</x:f>
        <x:v>P017</x:v>
      </x:c>
      <x:c r="O155" s="4" t="n">
        <x:f>COUNTIFS(Products!$A$7:$A$66,N155)</x:f>
        <x:v>1</x:v>
      </x:c>
      <x:c r="P155" s="4" t="str">
        <x:f>IF(O155=0,"Unmatched",IF(O155&gt;1,"Ambiguous","Matched"))</x:f>
        <x:v>Matched</x:v>
      </x:c>
      <x:c r="Q155" s="4" t="str">
        <x:f>IF(O155&lt;&gt;1,P155,INDEX(Products!$C$7:$C$66,MATCH(N155,Products!$A$7:$A$66,0)))</x:f>
        <x:v>Home care</x:v>
      </x:c>
    </x:row>
    <x:row r="156" ht="22" customHeight="1">
      <x:c r="A156" s="4" t="str">
        <x:v>L2025-024476</x:v>
      </x:c>
      <x:c r="B156" s="4" t="str">
        <x:v>O2025-09791</x:v>
      </x:c>
      <x:c r="C156" s="9" t="n">
        <x:v>45955</x:v>
      </x:c>
      <x:c r="D156" s="4" t="str">
        <x:v>WEB</x:v>
      </x:c>
      <x:c r="E156" s="4" t="str">
        <x:v>P028</x:v>
      </x:c>
      <x:c r="F156" s="4" t="str">
        <x:f>IF(O156&lt;&gt;1,P156,_xlfn.XLOOKUP(N156,Products!$A$7:$A$66,Products!$B$7:$B$66,"Unmatched",0))</x:f>
        <x:v>Eraser pack</x:v>
      </x:c>
      <x:c r="G156" s="4" t="str">
        <x:f>IF(O156&lt;&gt;1,P156,_xlfn.XLOOKUP(N156,Products!$A$7:$A$66,Products!$C$7:$C$66,"Unmatched",0))</x:f>
        <x:v>Stationery</x:v>
      </x:c>
      <x:c r="H156" s="10" t="n">
        <x:v>2</x:v>
      </x:c>
      <x:c r="I156" s="11" t="n">
        <x:v>80</x:v>
      </x:c>
      <x:c r="J156" s="11" t="n">
        <x:v>16</x:v>
      </x:c>
      <x:c r="K156" s="11" t="n">
        <x:v>41.6</x:v>
      </x:c>
      <x:c r="L156" s="11" t="n">
        <x:v>160</x:v>
      </x:c>
      <x:c r="M156" s="11" t="n">
        <x:v>144</x:v>
      </x:c>
      <x:c r="N156" s="4" t="str">
        <x:f>IF(ISNUMBER(E156),"P"&amp;TEXT(E156,"000"),TRIM(E156))</x:f>
        <x:v>P028</x:v>
      </x:c>
      <x:c r="O156" s="4" t="n">
        <x:f>COUNTIFS(Products!$A$7:$A$66,N156)</x:f>
        <x:v>1</x:v>
      </x:c>
      <x:c r="P156" s="4" t="str">
        <x:f>IF(O156=0,"Unmatched",IF(O156&gt;1,"Ambiguous","Matched"))</x:f>
        <x:v>Matched</x:v>
      </x:c>
      <x:c r="Q156" s="4" t="str">
        <x:f>IF(O156&lt;&gt;1,P156,INDEX(Products!$C$7:$C$66,MATCH(N156,Products!$A$7:$A$66,0)))</x:f>
        <x:v>Stationery</x:v>
      </x:c>
    </x:row>
    <x:row r="157" ht="22" customHeight="1">
      <x:c r="A157" s="4" t="str">
        <x:v>L2025-024477</x:v>
      </x:c>
      <x:c r="B157" s="4" t="str">
        <x:v>O2025-09791</x:v>
      </x:c>
      <x:c r="C157" s="9" t="n">
        <x:v>45955</x:v>
      </x:c>
      <x:c r="D157" s="4" t="str">
        <x:v>WEB</x:v>
      </x:c>
      <x:c r="E157" s="4" t="str">
        <x:v>P032</x:v>
      </x:c>
      <x:c r="F157" s="4" t="str">
        <x:f>IF(O157&lt;&gt;1,P157,_xlfn.XLOOKUP(N157,Products!$A$7:$A$66,Products!$B$7:$B$66,"Unmatched",0))</x:f>
        <x:v>Drawing pad</x:v>
      </x:c>
      <x:c r="G157" s="4" t="str">
        <x:f>IF(O157&lt;&gt;1,P157,_xlfn.XLOOKUP(N157,Products!$A$7:$A$66,Products!$C$7:$C$66,"Unmatched",0))</x:f>
        <x:v>Stationery</x:v>
      </x:c>
      <x:c r="H157" s="10" t="n">
        <x:v>3</x:v>
      </x:c>
      <x:c r="I157" s="11" t="n">
        <x:v>120</x:v>
      </x:c>
      <x:c r="J157" s="11" t="n">
        <x:v>54</x:v>
      </x:c>
      <x:c r="K157" s="11" t="n">
        <x:v>62.4</x:v>
      </x:c>
      <x:c r="L157" s="11" t="n">
        <x:v>360</x:v>
      </x:c>
      <x:c r="M157" s="11" t="n">
        <x:v>306</x:v>
      </x:c>
      <x:c r="N157" s="4" t="str">
        <x:f>IF(ISNUMBER(E157),"P"&amp;TEXT(E157,"000"),TRIM(E157))</x:f>
        <x:v>P032</x:v>
      </x:c>
      <x:c r="O157" s="4" t="n">
        <x:f>COUNTIFS(Products!$A$7:$A$66,N157)</x:f>
        <x:v>1</x:v>
      </x:c>
      <x:c r="P157" s="4" t="str">
        <x:f>IF(O157=0,"Unmatched",IF(O157&gt;1,"Ambiguous","Matched"))</x:f>
        <x:v>Matched</x:v>
      </x:c>
      <x:c r="Q157" s="4" t="str">
        <x:f>IF(O157&lt;&gt;1,P157,INDEX(Products!$C$7:$C$66,MATCH(N157,Products!$A$7:$A$66,0)))</x:f>
        <x:v>Stationery</x:v>
      </x:c>
    </x:row>
    <x:row r="158" ht="22" customHeight="1">
      <x:c r="A158" s="4" t="str">
        <x:v>L2025-024986</x:v>
      </x:c>
      <x:c r="B158" s="4" t="str">
        <x:v>O2025-09995</x:v>
      </x:c>
      <x:c r="C158" s="9" t="n">
        <x:v>45961</x:v>
      </x:c>
      <x:c r="D158" s="4" t="str">
        <x:v>S01</x:v>
      </x:c>
      <x:c r="E158" s="4" t="str">
        <x:v>P051</x:v>
      </x:c>
      <x:c r="F158" s="4" t="str">
        <x:f>IF(O158&lt;&gt;1,P158,_xlfn.XLOOKUP(N158,Products!$A$7:$A$66,Products!$B$7:$B$66,"Unmatched",0))</x:f>
        <x:v>Keyboard</x:v>
      </x:c>
      <x:c r="G158" s="4" t="str">
        <x:f>IF(O158&lt;&gt;1,P158,_xlfn.XLOOKUP(N158,Products!$A$7:$A$66,Products!$C$7:$C$66,"Unmatched",0))</x:f>
        <x:v>Electronics</x:v>
      </x:c>
      <x:c r="H158" s="10" t="n">
        <x:v>5</x:v>
      </x:c>
      <x:c r="I158" s="11" t="n">
        <x:v>1750</x:v>
      </x:c>
      <x:c r="J158" s="11" t="n">
        <x:v>1312.5</x:v>
      </x:c>
      <x:c r="K158" s="11" t="n">
        <x:v>1470</x:v>
      </x:c>
      <x:c r="L158" s="11" t="n">
        <x:v>8750</x:v>
      </x:c>
      <x:c r="M158" s="11" t="n">
        <x:v>7437.5</x:v>
      </x:c>
      <x:c r="N158" s="4" t="str">
        <x:f>IF(ISNUMBER(E158),"P"&amp;TEXT(E158,"000"),TRIM(E158))</x:f>
        <x:v>P051</x:v>
      </x:c>
      <x:c r="O158" s="4" t="n">
        <x:f>COUNTIFS(Products!$A$7:$A$66,N158)</x:f>
        <x:v>1</x:v>
      </x:c>
      <x:c r="P158" s="4" t="str">
        <x:f>IF(O158=0,"Unmatched",IF(O158&gt;1,"Ambiguous","Matched"))</x:f>
        <x:v>Matched</x:v>
      </x:c>
      <x:c r="Q158" s="4" t="str">
        <x:f>IF(O158&lt;&gt;1,P158,INDEX(Products!$C$7:$C$66,MATCH(N158,Products!$A$7:$A$66,0)))</x:f>
        <x:v>Electronics</x:v>
      </x:c>
    </x:row>
    <x:row r="159" ht="22" customHeight="1">
      <x:c r="A159" s="4" t="str">
        <x:v>L2025-024987</x:v>
      </x:c>
      <x:c r="B159" s="4" t="str">
        <x:v>O2025-09995</x:v>
      </x:c>
      <x:c r="C159" s="9" t="n">
        <x:v>45961</x:v>
      </x:c>
      <x:c r="D159" s="4" t="str">
        <x:v>S01</x:v>
      </x:c>
      <x:c r="E159" s="4" t="str">
        <x:v>P010</x:v>
      </x:c>
      <x:c r="F159" s="4" t="str">
        <x:f>IF(O159&lt;&gt;1,P159,_xlfn.XLOOKUP(N159,Products!$A$7:$A$66,Products!$B$7:$B$66,"Unmatched",0))</x:f>
        <x:v>Cutting board</x:v>
      </x:c>
      <x:c r="G159" s="4" t="str">
        <x:f>IF(O159&lt;&gt;1,P159,_xlfn.XLOOKUP(N159,Products!$A$7:$A$66,Products!$C$7:$C$66,"Unmatched",0))</x:f>
        <x:v>Kitchen</x:v>
      </x:c>
      <x:c r="H159" s="10" t="n">
        <x:v>3</x:v>
      </x:c>
      <x:c r="I159" s="11" t="n">
        <x:v>504</x:v>
      </x:c>
      <x:c r="J159" s="11" t="n">
        <x:v>226.8</x:v>
      </x:c>
      <x:c r="K159" s="11" t="n">
        <x:v>302.4</x:v>
      </x:c>
      <x:c r="L159" s="11" t="n">
        <x:v>1512</x:v>
      </x:c>
      <x:c r="M159" s="11" t="n">
        <x:v>1285.2</x:v>
      </x:c>
      <x:c r="N159" s="4" t="str">
        <x:f>IF(ISNUMBER(E159),"P"&amp;TEXT(E159,"000"),TRIM(E159))</x:f>
        <x:v>P010</x:v>
      </x:c>
      <x:c r="O159" s="4" t="n">
        <x:f>COUNTIFS(Products!$A$7:$A$66,N159)</x:f>
        <x:v>1</x:v>
      </x:c>
      <x:c r="P159" s="4" t="str">
        <x:f>IF(O159=0,"Unmatched",IF(O159&gt;1,"Ambiguous","Matched"))</x:f>
        <x:v>Matched</x:v>
      </x:c>
      <x:c r="Q159" s="4" t="str">
        <x:f>IF(O159&lt;&gt;1,P159,INDEX(Products!$C$7:$C$66,MATCH(N159,Products!$A$7:$A$66,0)))</x:f>
        <x:v>Kitchen</x:v>
      </x:c>
    </x:row>
    <x:row r="160" ht="22" customHeight="1">
      <x:c r="A160" s="4" t="str">
        <x:v>L2025-024988</x:v>
      </x:c>
      <x:c r="B160" s="4" t="str">
        <x:v>O2025-09996</x:v>
      </x:c>
      <x:c r="C160" s="9" t="n">
        <x:v>45962</x:v>
      </x:c>
      <x:c r="D160" s="4" t="str">
        <x:v>S06</x:v>
      </x:c>
      <x:c r="E160" s="4" t="str">
        <x:v>P010</x:v>
      </x:c>
      <x:c r="F160" s="4" t="str">
        <x:f>IF(O160&lt;&gt;1,P160,_xlfn.XLOOKUP(N160,Products!$A$7:$A$66,Products!$B$7:$B$66,"Unmatched",0))</x:f>
        <x:v>Cutting board</x:v>
      </x:c>
      <x:c r="G160" s="4" t="str">
        <x:f>IF(O160&lt;&gt;1,P160,_xlfn.XLOOKUP(N160,Products!$A$7:$A$66,Products!$C$7:$C$66,"Unmatched",0))</x:f>
        <x:v>Kitchen</x:v>
      </x:c>
      <x:c r="H160" s="10" t="n">
        <x:v>1</x:v>
      </x:c>
      <x:c r="I160" s="11" t="n">
        <x:v>504</x:v>
      </x:c>
      <x:c r="J160" s="11" t="n">
        <x:v>126</x:v>
      </x:c>
      <x:c r="K160" s="11" t="n">
        <x:v>302.4</x:v>
      </x:c>
      <x:c r="L160" s="11" t="n">
        <x:v>504</x:v>
      </x:c>
      <x:c r="M160" s="11" t="n">
        <x:v>378</x:v>
      </x:c>
      <x:c r="N160" s="4" t="str">
        <x:f>IF(ISNUMBER(E160),"P"&amp;TEXT(E160,"000"),TRIM(E160))</x:f>
        <x:v>P010</x:v>
      </x:c>
      <x:c r="O160" s="4" t="n">
        <x:f>COUNTIFS(Products!$A$7:$A$66,N160)</x:f>
        <x:v>1</x:v>
      </x:c>
      <x:c r="P160" s="4" t="str">
        <x:f>IF(O160=0,"Unmatched",IF(O160&gt;1,"Ambiguous","Matched"))</x:f>
        <x:v>Matched</x:v>
      </x:c>
      <x:c r="Q160" s="4" t="str">
        <x:f>IF(O160&lt;&gt;1,P160,INDEX(Products!$C$7:$C$66,MATCH(N160,Products!$A$7:$A$66,0)))</x:f>
        <x:v>Kitchen</x:v>
      </x:c>
    </x:row>
    <x:row r="161" ht="22" customHeight="1">
      <x:c r="A161" s="4" t="str">
        <x:v>L2025-024989</x:v>
      </x:c>
      <x:c r="B161" s="4" t="str">
        <x:v>O2025-09996</x:v>
      </x:c>
      <x:c r="C161" s="9" t="n">
        <x:v>45962</x:v>
      </x:c>
      <x:c r="D161" s="4" t="str">
        <x:v>S06</x:v>
      </x:c>
      <x:c r="E161" s="4" t="str">
        <x:v>P055</x:v>
      </x:c>
      <x:c r="F161" s="4" t="str">
        <x:f>IF(O161&lt;&gt;1,P161,_xlfn.XLOOKUP(N161,Products!$A$7:$A$66,Products!$B$7:$B$66,"Unmatched",0))</x:f>
        <x:v>Power bank</x:v>
      </x:c>
      <x:c r="G161" s="4" t="str">
        <x:f>IF(O161&lt;&gt;1,P161,_xlfn.XLOOKUP(N161,Products!$A$7:$A$66,Products!$C$7:$C$66,"Unmatched",0))</x:f>
        <x:v>Electronics</x:v>
      </x:c>
      <x:c r="H161" s="10" t="n">
        <x:v>4</x:v>
      </x:c>
      <x:c r="I161" s="11" t="n">
        <x:v>2750</x:v>
      </x:c>
      <x:c r="J161" s="11" t="n">
        <x:v>2200</x:v>
      </x:c>
      <x:c r="K161" s="11" t="n">
        <x:v>2310</x:v>
      </x:c>
      <x:c r="L161" s="11" t="n">
        <x:v>11000</x:v>
      </x:c>
      <x:c r="M161" s="11" t="n">
        <x:v>8800</x:v>
      </x:c>
      <x:c r="N161" s="4" t="str">
        <x:f>IF(ISNUMBER(E161),"P"&amp;TEXT(E161,"000"),TRIM(E161))</x:f>
        <x:v>P055</x:v>
      </x:c>
      <x:c r="O161" s="4" t="n">
        <x:f>COUNTIFS(Products!$A$7:$A$66,N161)</x:f>
        <x:v>1</x:v>
      </x:c>
      <x:c r="P161" s="4" t="str">
        <x:f>IF(O161=0,"Unmatched",IF(O161&gt;1,"Ambiguous","Matched"))</x:f>
        <x:v>Matched</x:v>
      </x:c>
      <x:c r="Q161" s="4" t="str">
        <x:f>IF(O161&lt;&gt;1,P161,INDEX(Products!$C$7:$C$66,MATCH(N161,Products!$A$7:$A$66,0)))</x:f>
        <x:v>Electronics</x:v>
      </x:c>
    </x:row>
    <x:row r="162" ht="22" customHeight="1">
      <x:c r="A162" s="4" t="str">
        <x:v>L2025-024990</x:v>
      </x:c>
      <x:c r="B162" s="4" t="str">
        <x:v>O2025-09996</x:v>
      </x:c>
      <x:c r="C162" s="9" t="n">
        <x:v>45962</x:v>
      </x:c>
      <x:c r="D162" s="4" t="str">
        <x:v>S06</x:v>
      </x:c>
      <x:c r="E162" s="4" t="str">
        <x:v>P029</x:v>
      </x:c>
      <x:c r="F162" s="4" t="str">
        <x:f>IF(O162&lt;&gt;1,P162,_xlfn.XLOOKUP(N162,Products!$A$7:$A$66,Products!$B$7:$B$66,"Unmatched",0))</x:f>
        <x:v>Ruler</x:v>
      </x:c>
      <x:c r="G162" s="4" t="str">
        <x:f>IF(O162&lt;&gt;1,P162,_xlfn.XLOOKUP(N162,Products!$A$7:$A$66,Products!$C$7:$C$66,"Unmatched",0))</x:f>
        <x:v>Stationery</x:v>
      </x:c>
      <x:c r="H162" s="10" t="n">
        <x:v>1</x:v>
      </x:c>
      <x:c r="I162" s="11" t="n">
        <x:v>90</x:v>
      </x:c>
      <x:c r="J162" s="11" t="n">
        <x:v>9</x:v>
      </x:c>
      <x:c r="K162" s="11" t="n">
        <x:v>46.8</x:v>
      </x:c>
      <x:c r="L162" s="11" t="n">
        <x:v>90</x:v>
      </x:c>
      <x:c r="M162" s="11" t="n">
        <x:v>81</x:v>
      </x:c>
      <x:c r="N162" s="4" t="str">
        <x:f>IF(ISNUMBER(E162),"P"&amp;TEXT(E162,"000"),TRIM(E162))</x:f>
        <x:v>P029</x:v>
      </x:c>
      <x:c r="O162" s="4" t="n">
        <x:f>COUNTIFS(Products!$A$7:$A$66,N162)</x:f>
        <x:v>1</x:v>
      </x:c>
      <x:c r="P162" s="4" t="str">
        <x:f>IF(O162=0,"Unmatched",IF(O162&gt;1,"Ambiguous","Matched"))</x:f>
        <x:v>Matched</x:v>
      </x:c>
      <x:c r="Q162" s="4" t="str">
        <x:f>IF(O162&lt;&gt;1,P162,INDEX(Products!$C$7:$C$66,MATCH(N162,Products!$A$7:$A$66,0)))</x:f>
        <x:v>Stationery</x:v>
      </x:c>
    </x:row>
    <x:row r="163" ht="22" customHeight="1">
      <x:c r="A163" s="4" t="str">
        <x:v>L2025-025481</x:v>
      </x:c>
      <x:c r="B163" s="4" t="str">
        <x:v>O2025-10193</x:v>
      </x:c>
      <x:c r="C163" s="9" t="n">
        <x:v>45968</x:v>
      </x:c>
      <x:c r="D163" s="4" t="str">
        <x:v>S06</x:v>
      </x:c>
      <x:c r="E163" s="4" t="str">
        <x:v>P019</x:v>
      </x:c>
      <x:c r="F163" s="4" t="str">
        <x:f>IF(O163&lt;&gt;1,P163,_xlfn.XLOOKUP(N163,Products!$A$7:$A$66,Products!$B$7:$B$66,"Unmatched",0))</x:f>
        <x:v>Mop</x:v>
      </x:c>
      <x:c r="G163" s="4" t="str">
        <x:f>IF(O163&lt;&gt;1,P163,_xlfn.XLOOKUP(N163,Products!$A$7:$A$66,Products!$C$7:$C$66,"Unmatched",0))</x:f>
        <x:v>Home care</x:v>
      </x:c>
      <x:c r="H163" s="10" t="n">
        <x:v>5</x:v>
      </x:c>
      <x:c r="I163" s="11" t="n">
        <x:v>264</x:v>
      </x:c>
      <x:c r="J163" s="11" t="n">
        <x:v>330</x:v>
      </x:c>
      <x:c r="K163" s="11" t="n">
        <x:v>163.68</x:v>
      </x:c>
      <x:c r="L163" s="11" t="n">
        <x:v>1320</x:v>
      </x:c>
      <x:c r="M163" s="11" t="n">
        <x:v>990</x:v>
      </x:c>
      <x:c r="N163" s="4" t="str">
        <x:f>IF(ISNUMBER(E163),"P"&amp;TEXT(E163,"000"),TRIM(E163))</x:f>
        <x:v>P019</x:v>
      </x:c>
      <x:c r="O163" s="4" t="n">
        <x:f>COUNTIFS(Products!$A$7:$A$66,N163)</x:f>
        <x:v>1</x:v>
      </x:c>
      <x:c r="P163" s="4" t="str">
        <x:f>IF(O163=0,"Unmatched",IF(O163&gt;1,"Ambiguous","Matched"))</x:f>
        <x:v>Matched</x:v>
      </x:c>
      <x:c r="Q163" s="4" t="str">
        <x:f>IF(O163&lt;&gt;1,P163,INDEX(Products!$C$7:$C$66,MATCH(N163,Products!$A$7:$A$66,0)))</x:f>
        <x:v>Home care</x:v>
      </x:c>
    </x:row>
    <x:row r="164" ht="22" customHeight="1">
      <x:c r="A164" s="4" t="str">
        <x:v>L2025-025482</x:v>
      </x:c>
      <x:c r="B164" s="4" t="str">
        <x:v>O2025-10193</x:v>
      </x:c>
      <x:c r="C164" s="9" t="n">
        <x:v>45968</x:v>
      </x:c>
      <x:c r="D164" s="4" t="str">
        <x:v>S06</x:v>
      </x:c>
      <x:c r="E164" s="4" t="str">
        <x:v>P059</x:v>
      </x:c>
      <x:c r="F164" s="4" t="str">
        <x:f>IF(O164&lt;&gt;1,P164,_xlfn.XLOOKUP(N164,Products!$A$7:$A$66,Products!$B$7:$B$66,"Unmatched",0))</x:f>
        <x:v>Monitor</x:v>
      </x:c>
      <x:c r="G164" s="4" t="str">
        <x:f>IF(O164&lt;&gt;1,P164,_xlfn.XLOOKUP(N164,Products!$A$7:$A$66,Products!$C$7:$C$66,"Unmatched",0))</x:f>
        <x:v>Electronics</x:v>
      </x:c>
      <x:c r="H164" s="10" t="n">
        <x:v>3</x:v>
      </x:c>
      <x:c r="I164" s="11" t="n">
        <x:v>3750</x:v>
      </x:c>
      <x:c r="J164" s="11" t="n">
        <x:v>3375</x:v>
      </x:c>
      <x:c r="K164" s="11" t="n">
        <x:v>3150</x:v>
      </x:c>
      <x:c r="L164" s="11" t="n">
        <x:v>11250</x:v>
      </x:c>
      <x:c r="M164" s="11" t="n">
        <x:v>7875</x:v>
      </x:c>
      <x:c r="N164" s="4" t="str">
        <x:f>IF(ISNUMBER(E164),"P"&amp;TEXT(E164,"000"),TRIM(E164))</x:f>
        <x:v>P059</x:v>
      </x:c>
      <x:c r="O164" s="4" t="n">
        <x:f>COUNTIFS(Products!$A$7:$A$66,N164)</x:f>
        <x:v>1</x:v>
      </x:c>
      <x:c r="P164" s="4" t="str">
        <x:f>IF(O164=0,"Unmatched",IF(O164&gt;1,"Ambiguous","Matched"))</x:f>
        <x:v>Matched</x:v>
      </x:c>
      <x:c r="Q164" s="4" t="str">
        <x:f>IF(O164&lt;&gt;1,P164,INDEX(Products!$C$7:$C$66,MATCH(N164,Products!$A$7:$A$66,0)))</x:f>
        <x:v>Electronics</x:v>
      </x:c>
    </x:row>
    <x:row r="165" ht="22" customHeight="1">
      <x:c r="A165" s="4" t="str">
        <x:v>L2025-025973</x:v>
      </x:c>
      <x:c r="B165" s="4" t="str">
        <x:v>O2025-10390</x:v>
      </x:c>
      <x:c r="C165" s="9" t="n">
        <x:v>45973</x:v>
      </x:c>
      <x:c r="D165" s="4" t="str">
        <x:v>WEB</x:v>
      </x:c>
      <x:c r="E165" s="4" t="str">
        <x:v>P058</x:v>
      </x:c>
      <x:c r="F165" s="4" t="str">
        <x:f>IF(O165&lt;&gt;1,P165,_xlfn.XLOOKUP(N165,Products!$A$7:$A$66,Products!$B$7:$B$66,"Unmatched",0))</x:f>
        <x:v>Router</x:v>
      </x:c>
      <x:c r="G165" s="4" t="str">
        <x:f>IF(O165&lt;&gt;1,P165,_xlfn.XLOOKUP(N165,Products!$A$7:$A$66,Products!$C$7:$C$66,"Unmatched",0))</x:f>
        <x:v>Electronics</x:v>
      </x:c>
      <x:c r="H165" s="10" t="n">
        <x:v>4</x:v>
      </x:c>
      <x:c r="I165" s="11" t="n">
        <x:v>3500</x:v>
      </x:c>
      <x:c r="J165" s="11" t="n">
        <x:v>2100</x:v>
      </x:c>
      <x:c r="K165" s="11" t="n">
        <x:v>2940</x:v>
      </x:c>
      <x:c r="L165" s="11" t="n">
        <x:v>14000</x:v>
      </x:c>
      <x:c r="M165" s="11" t="n">
        <x:v>11900</x:v>
      </x:c>
      <x:c r="N165" s="4" t="str">
        <x:f>IF(ISNUMBER(E165),"P"&amp;TEXT(E165,"000"),TRIM(E165))</x:f>
        <x:v>P058</x:v>
      </x:c>
      <x:c r="O165" s="4" t="n">
        <x:f>COUNTIFS(Products!$A$7:$A$66,N165)</x:f>
        <x:v>1</x:v>
      </x:c>
      <x:c r="P165" s="4" t="str">
        <x:f>IF(O165=0,"Unmatched",IF(O165&gt;1,"Ambiguous","Matched"))</x:f>
        <x:v>Matched</x:v>
      </x:c>
      <x:c r="Q165" s="4" t="str">
        <x:f>IF(O165&lt;&gt;1,P165,INDEX(Products!$C$7:$C$66,MATCH(N165,Products!$A$7:$A$66,0)))</x:f>
        <x:v>Electronics</x:v>
      </x:c>
    </x:row>
    <x:row r="166" ht="22" customHeight="1">
      <x:c r="A166" s="4" t="str">
        <x:v>L2025-025974</x:v>
      </x:c>
      <x:c r="B166" s="4" t="str">
        <x:v>O2025-10390</x:v>
      </x:c>
      <x:c r="C166" s="9" t="n">
        <x:v>45973</x:v>
      </x:c>
      <x:c r="D166" s="4" t="str">
        <x:v>WEB</x:v>
      </x:c>
      <x:c r="E166" s="4" t="str">
        <x:v>P001</x:v>
      </x:c>
      <x:c r="F166" s="4" t="str">
        <x:f>IF(O166&lt;&gt;1,P166,_xlfn.XLOOKUP(N166,Products!$A$7:$A$66,Products!$B$7:$B$66,"Unmatched",0))</x:f>
        <x:v>Steel cup</x:v>
      </x:c>
      <x:c r="G166" s="4" t="str">
        <x:f>IF(O166&lt;&gt;1,P166,_xlfn.XLOOKUP(N166,Products!$A$7:$A$66,Products!$C$7:$C$66,"Unmatched",0))</x:f>
        <x:v>Kitchen</x:v>
      </x:c>
      <x:c r="H166" s="10" t="n">
        <x:v>2</x:v>
      </x:c>
      <x:c r="I166" s="11" t="n">
        <x:v>180</x:v>
      </x:c>
      <x:c r="J166" s="11" t="n">
        <x:v>90</x:v>
      </x:c>
      <x:c r="K166" s="11" t="n">
        <x:v>108</x:v>
      </x:c>
      <x:c r="L166" s="11" t="n">
        <x:v>360</x:v>
      </x:c>
      <x:c r="M166" s="11" t="n">
        <x:v>270</x:v>
      </x:c>
      <x:c r="N166" s="4" t="str">
        <x:f>IF(ISNUMBER(E166),"P"&amp;TEXT(E166,"000"),TRIM(E166))</x:f>
        <x:v>P001</x:v>
      </x:c>
      <x:c r="O166" s="4" t="n">
        <x:f>COUNTIFS(Products!$A$7:$A$66,N166)</x:f>
        <x:v>1</x:v>
      </x:c>
      <x:c r="P166" s="4" t="str">
        <x:f>IF(O166=0,"Unmatched",IF(O166&gt;1,"Ambiguous","Matched"))</x:f>
        <x:v>Matched</x:v>
      </x:c>
      <x:c r="Q166" s="4" t="str">
        <x:f>IF(O166&lt;&gt;1,P166,INDEX(Products!$C$7:$C$66,MATCH(N166,Products!$A$7:$A$66,0)))</x:f>
        <x:v>Kitchen</x:v>
      </x:c>
    </x:row>
    <x:row r="167" ht="22" customHeight="1">
      <x:c r="A167" s="4" t="str">
        <x:v>L2025-025975</x:v>
      </x:c>
      <x:c r="B167" s="4" t="str">
        <x:v>O2025-10390</x:v>
      </x:c>
      <x:c r="C167" s="9" t="n">
        <x:v>45973</x:v>
      </x:c>
      <x:c r="D167" s="4" t="str">
        <x:v>WEB</x:v>
      </x:c>
      <x:c r="E167" s="4" t="str">
        <x:v>P027</x:v>
      </x:c>
      <x:c r="F167" s="4" t="str">
        <x:f>IF(O167&lt;&gt;1,P167,_xlfn.XLOOKUP(N167,Products!$A$7:$A$66,Products!$B$7:$B$66,"Unmatched",0))</x:f>
        <x:v>Pencil pack</x:v>
      </x:c>
      <x:c r="G167" s="4" t="str">
        <x:f>IF(O167&lt;&gt;1,P167,_xlfn.XLOOKUP(N167,Products!$A$7:$A$66,Products!$C$7:$C$66,"Unmatched",0))</x:f>
        <x:v>Stationery</x:v>
      </x:c>
      <x:c r="H167" s="10" t="n">
        <x:v>5</x:v>
      </x:c>
      <x:c r="I167" s="11" t="n">
        <x:v>70</x:v>
      </x:c>
      <x:c r="J167" s="11" t="n">
        <x:v>87.5</x:v>
      </x:c>
      <x:c r="K167" s="11" t="n">
        <x:v>36.4</x:v>
      </x:c>
      <x:c r="L167" s="11" t="n">
        <x:v>350</x:v>
      </x:c>
      <x:c r="M167" s="11" t="n">
        <x:v>262.5</x:v>
      </x:c>
      <x:c r="N167" s="4" t="str">
        <x:f>IF(ISNUMBER(E167),"P"&amp;TEXT(E167,"000"),TRIM(E167))</x:f>
        <x:v>P027</x:v>
      </x:c>
      <x:c r="O167" s="4" t="n">
        <x:f>COUNTIFS(Products!$A$7:$A$66,N167)</x:f>
        <x:v>1</x:v>
      </x:c>
      <x:c r="P167" s="4" t="str">
        <x:f>IF(O167=0,"Unmatched",IF(O167&gt;1,"Ambiguous","Matched"))</x:f>
        <x:v>Matched</x:v>
      </x:c>
      <x:c r="Q167" s="4" t="str">
        <x:f>IF(O167&lt;&gt;1,P167,INDEX(Products!$C$7:$C$66,MATCH(N167,Products!$A$7:$A$66,0)))</x:f>
        <x:v>Stationery</x:v>
      </x:c>
    </x:row>
    <x:row r="168" ht="22" customHeight="1">
      <x:c r="A168" s="4" t="str">
        <x:v>L2025-026466</x:v>
      </x:c>
      <x:c r="B168" s="4" t="str">
        <x:v>O2025-10587</x:v>
      </x:c>
      <x:c r="C168" s="9" t="n">
        <x:v>45979</x:v>
      </x:c>
      <x:c r="D168" s="4" t="str">
        <x:v>S02</x:v>
      </x:c>
      <x:c r="E168" s="4" t="str">
        <x:v>P054</x:v>
      </x:c>
      <x:c r="F168" s="4" t="str">
        <x:f>IF(O168&lt;&gt;1,P168,_xlfn.XLOOKUP(N168,Products!$A$7:$A$66,Products!$B$7:$B$66,"Unmatched",0))</x:f>
        <x:v>Earphones</x:v>
      </x:c>
      <x:c r="G168" s="4" t="str">
        <x:f>IF(O168&lt;&gt;1,P168,_xlfn.XLOOKUP(N168,Products!$A$7:$A$66,Products!$C$7:$C$66,"Unmatched",0))</x:f>
        <x:v>Electronics</x:v>
      </x:c>
      <x:c r="H168" s="10" t="n">
        <x:v>5</x:v>
      </x:c>
      <x:c r="I168" s="11" t="n">
        <x:v>2500</x:v>
      </x:c>
      <x:c r="J168" s="11" t="n">
        <x:v>2500</x:v>
      </x:c>
      <x:c r="K168" s="11" t="n">
        <x:v>2100</x:v>
      </x:c>
      <x:c r="L168" s="11" t="n">
        <x:v>12500</x:v>
      </x:c>
      <x:c r="M168" s="11" t="n">
        <x:v>10000</x:v>
      </x:c>
      <x:c r="N168" s="4" t="str">
        <x:f>IF(ISNUMBER(E168),"P"&amp;TEXT(E168,"000"),TRIM(E168))</x:f>
        <x:v>P054</x:v>
      </x:c>
      <x:c r="O168" s="4" t="n">
        <x:f>COUNTIFS(Products!$A$7:$A$66,N168)</x:f>
        <x:v>1</x:v>
      </x:c>
      <x:c r="P168" s="4" t="str">
        <x:f>IF(O168=0,"Unmatched",IF(O168&gt;1,"Ambiguous","Matched"))</x:f>
        <x:v>Matched</x:v>
      </x:c>
      <x:c r="Q168" s="4" t="str">
        <x:f>IF(O168&lt;&gt;1,P168,INDEX(Products!$C$7:$C$66,MATCH(N168,Products!$A$7:$A$66,0)))</x:f>
        <x:v>Electronics</x:v>
      </x:c>
    </x:row>
    <x:row r="169" ht="22" customHeight="1">
      <x:c r="A169" s="4" t="str">
        <x:v>L2025-026467</x:v>
      </x:c>
      <x:c r="B169" s="4" t="str">
        <x:v>O2025-10587</x:v>
      </x:c>
      <x:c r="C169" s="9" t="n">
        <x:v>45979</x:v>
      </x:c>
      <x:c r="D169" s="4" t="str">
        <x:v>S02</x:v>
      </x:c>
      <x:c r="E169" s="4" t="str">
        <x:v>P012</x:v>
      </x:c>
      <x:c r="F169" s="4" t="str">
        <x:f>IF(O169&lt;&gt;1,P169,_xlfn.XLOOKUP(N169,Products!$A$7:$A$66,Products!$B$7:$B$66,"Unmatched",0))</x:f>
        <x:v>Kettle</x:v>
      </x:c>
      <x:c r="G169" s="4" t="str">
        <x:f>IF(O169&lt;&gt;1,P169,_xlfn.XLOOKUP(N169,Products!$A$7:$A$66,Products!$C$7:$C$66,"Unmatched",0))</x:f>
        <x:v>Kitchen</x:v>
      </x:c>
      <x:c r="H169" s="10" t="n">
        <x:v>3</x:v>
      </x:c>
      <x:c r="I169" s="11" t="n">
        <x:v>576</x:v>
      </x:c>
      <x:c r="J169" s="11" t="n">
        <x:v>518.4</x:v>
      </x:c>
      <x:c r="K169" s="11" t="n">
        <x:v>345.6</x:v>
      </x:c>
      <x:c r="L169" s="11" t="n">
        <x:v>1728</x:v>
      </x:c>
      <x:c r="M169" s="11" t="n">
        <x:v>1209.6</x:v>
      </x:c>
      <x:c r="N169" s="4" t="str">
        <x:f>IF(ISNUMBER(E169),"P"&amp;TEXT(E169,"000"),TRIM(E169))</x:f>
        <x:v>P012</x:v>
      </x:c>
      <x:c r="O169" s="4" t="n">
        <x:f>COUNTIFS(Products!$A$7:$A$66,N169)</x:f>
        <x:v>1</x:v>
      </x:c>
      <x:c r="P169" s="4" t="str">
        <x:f>IF(O169=0,"Unmatched",IF(O169&gt;1,"Ambiguous","Matched"))</x:f>
        <x:v>Matched</x:v>
      </x:c>
      <x:c r="Q169" s="4" t="str">
        <x:f>IF(O169&lt;&gt;1,P169,INDEX(Products!$C$7:$C$66,MATCH(N169,Products!$A$7:$A$66,0)))</x:f>
        <x:v>Kitchen</x:v>
      </x:c>
    </x:row>
    <x:row r="170" ht="22" customHeight="1">
      <x:c r="A170" s="4" t="str">
        <x:v>L2025-026956</x:v>
      </x:c>
      <x:c r="B170" s="4" t="str">
        <x:v>O2025-10783</x:v>
      </x:c>
      <x:c r="C170" s="9" t="n">
        <x:v>45985</x:v>
      </x:c>
      <x:c r="D170" s="4" t="str">
        <x:v>S03</x:v>
      </x:c>
      <x:c r="E170" s="4" t="str">
        <x:v>P019</x:v>
      </x:c>
      <x:c r="F170" s="4" t="str">
        <x:f>IF(O170&lt;&gt;1,P170,_xlfn.XLOOKUP(N170,Products!$A$7:$A$66,Products!$B$7:$B$66,"Unmatched",0))</x:f>
        <x:v>Mop</x:v>
      </x:c>
      <x:c r="G170" s="4" t="str">
        <x:f>IF(O170&lt;&gt;1,P170,_xlfn.XLOOKUP(N170,Products!$A$7:$A$66,Products!$C$7:$C$66,"Unmatched",0))</x:f>
        <x:v>Home care</x:v>
      </x:c>
      <x:c r="H170" s="10" t="n">
        <x:v>1</x:v>
      </x:c>
      <x:c r="I170" s="11" t="n">
        <x:v>264</x:v>
      </x:c>
      <x:c r="J170" s="11" t="n">
        <x:v>66</x:v>
      </x:c>
      <x:c r="K170" s="11" t="n">
        <x:v>163.68</x:v>
      </x:c>
      <x:c r="L170" s="11" t="n">
        <x:v>264</x:v>
      </x:c>
      <x:c r="M170" s="11" t="n">
        <x:v>198</x:v>
      </x:c>
      <x:c r="N170" s="4" t="str">
        <x:f>IF(ISNUMBER(E170),"P"&amp;TEXT(E170,"000"),TRIM(E170))</x:f>
        <x:v>P019</x:v>
      </x:c>
      <x:c r="O170" s="4" t="n">
        <x:f>COUNTIFS(Products!$A$7:$A$66,N170)</x:f>
        <x:v>1</x:v>
      </x:c>
      <x:c r="P170" s="4" t="str">
        <x:f>IF(O170=0,"Unmatched",IF(O170&gt;1,"Ambiguous","Matched"))</x:f>
        <x:v>Matched</x:v>
      </x:c>
      <x:c r="Q170" s="4" t="str">
        <x:f>IF(O170&lt;&gt;1,P170,INDEX(Products!$C$7:$C$66,MATCH(N170,Products!$A$7:$A$66,0)))</x:f>
        <x:v>Home care</x:v>
      </x:c>
    </x:row>
    <x:row r="171" ht="22" customHeight="1">
      <x:c r="A171" s="4" t="str">
        <x:v>L2025-026957</x:v>
      </x:c>
      <x:c r="B171" s="4" t="str">
        <x:v>O2025-10783</x:v>
      </x:c>
      <x:c r="C171" s="9" t="n">
        <x:v>45985</x:v>
      </x:c>
      <x:c r="D171" s="4" t="str">
        <x:v>S03</x:v>
      </x:c>
      <x:c r="E171" s="4" t="str">
        <x:v>P051</x:v>
      </x:c>
      <x:c r="F171" s="4" t="str">
        <x:f>IF(O171&lt;&gt;1,P171,_xlfn.XLOOKUP(N171,Products!$A$7:$A$66,Products!$B$7:$B$66,"Unmatched",0))</x:f>
        <x:v>Keyboard</x:v>
      </x:c>
      <x:c r="G171" s="4" t="str">
        <x:f>IF(O171&lt;&gt;1,P171,_xlfn.XLOOKUP(N171,Products!$A$7:$A$66,Products!$C$7:$C$66,"Unmatched",0))</x:f>
        <x:v>Electronics</x:v>
      </x:c>
      <x:c r="H171" s="10" t="n">
        <x:v>2</x:v>
      </x:c>
      <x:c r="I171" s="11" t="n">
        <x:v>1750</x:v>
      </x:c>
      <x:c r="J171" s="11" t="n">
        <x:v>1050</x:v>
      </x:c>
      <x:c r="K171" s="11" t="n">
        <x:v>1470</x:v>
      </x:c>
      <x:c r="L171" s="11" t="n">
        <x:v>3500</x:v>
      </x:c>
      <x:c r="M171" s="11" t="n">
        <x:v>2450</x:v>
      </x:c>
      <x:c r="N171" s="4" t="str">
        <x:f>IF(ISNUMBER(E171),"P"&amp;TEXT(E171,"000"),TRIM(E171))</x:f>
        <x:v>P051</x:v>
      </x:c>
      <x:c r="O171" s="4" t="n">
        <x:f>COUNTIFS(Products!$A$7:$A$66,N171)</x:f>
        <x:v>1</x:v>
      </x:c>
      <x:c r="P171" s="4" t="str">
        <x:f>IF(O171=0,"Unmatched",IF(O171&gt;1,"Ambiguous","Matched"))</x:f>
        <x:v>Matched</x:v>
      </x:c>
      <x:c r="Q171" s="4" t="str">
        <x:f>IF(O171&lt;&gt;1,P171,INDEX(Products!$C$7:$C$66,MATCH(N171,Products!$A$7:$A$66,0)))</x:f>
        <x:v>Electronics</x:v>
      </x:c>
    </x:row>
    <x:row r="172" ht="22" customHeight="1">
      <x:c r="A172" s="4" t="str">
        <x:v>L2025-027451</x:v>
      </x:c>
      <x:c r="B172" s="4" t="str">
        <x:v>O2025-10981</x:v>
      </x:c>
      <x:c r="C172" s="9" t="n">
        <x:v>45991</x:v>
      </x:c>
      <x:c r="D172" s="4" t="str">
        <x:v>S06</x:v>
      </x:c>
      <x:c r="E172" s="4" t="str">
        <x:v>P023</x:v>
      </x:c>
      <x:c r="F172" s="4" t="str">
        <x:f>IF(O172&lt;&gt;1,P172,_xlfn.XLOOKUP(N172,Products!$A$7:$A$66,Products!$B$7:$B$66,"Unmatched",0))</x:f>
        <x:v>Door mat</x:v>
      </x:c>
      <x:c r="G172" s="4" t="str">
        <x:f>IF(O172&lt;&gt;1,P172,_xlfn.XLOOKUP(N172,Products!$A$7:$A$66,Products!$C$7:$C$66,"Unmatched",0))</x:f>
        <x:v>Home care</x:v>
      </x:c>
      <x:c r="H172" s="10" t="n">
        <x:v>3</x:v>
      </x:c>
      <x:c r="I172" s="11" t="n">
        <x:v>360</x:v>
      </x:c>
      <x:c r="J172" s="11" t="n">
        <x:v>270</x:v>
      </x:c>
      <x:c r="K172" s="11" t="n">
        <x:v>223.2</x:v>
      </x:c>
      <x:c r="L172" s="11" t="n">
        <x:v>1080</x:v>
      </x:c>
      <x:c r="M172" s="11" t="n">
        <x:v>810</x:v>
      </x:c>
      <x:c r="N172" s="4" t="str">
        <x:f>IF(ISNUMBER(E172),"P"&amp;TEXT(E172,"000"),TRIM(E172))</x:f>
        <x:v>P023</x:v>
      </x:c>
      <x:c r="O172" s="4" t="n">
        <x:f>COUNTIFS(Products!$A$7:$A$66,N172)</x:f>
        <x:v>1</x:v>
      </x:c>
      <x:c r="P172" s="4" t="str">
        <x:f>IF(O172=0,"Unmatched",IF(O172&gt;1,"Ambiguous","Matched"))</x:f>
        <x:v>Matched</x:v>
      </x:c>
      <x:c r="Q172" s="4" t="str">
        <x:f>IF(O172&lt;&gt;1,P172,INDEX(Products!$C$7:$C$66,MATCH(N172,Products!$A$7:$A$66,0)))</x:f>
        <x:v>Home care</x:v>
      </x:c>
    </x:row>
    <x:row r="173" ht="22" customHeight="1">
      <x:c r="A173" s="4" t="str">
        <x:v>L2025-027452</x:v>
      </x:c>
      <x:c r="B173" s="4" t="str">
        <x:v>O2025-10981</x:v>
      </x:c>
      <x:c r="C173" s="9" t="n">
        <x:v>45991</x:v>
      </x:c>
      <x:c r="D173" s="4" t="str">
        <x:v>S06</x:v>
      </x:c>
      <x:c r="E173" s="4" t="str">
        <x:v>P016</x:v>
      </x:c>
      <x:c r="F173" s="4" t="str">
        <x:f>IF(O173&lt;&gt;1,P173,_xlfn.XLOOKUP(N173,Products!$A$7:$A$66,Products!$B$7:$B$66,"Unmatched",0))</x:f>
        <x:v>Dustpan</x:v>
      </x:c>
      <x:c r="G173" s="4" t="str">
        <x:f>IF(O173&lt;&gt;1,P173,_xlfn.XLOOKUP(N173,Products!$A$7:$A$66,Products!$C$7:$C$66,"Unmatched",0))</x:f>
        <x:v>Home care</x:v>
      </x:c>
      <x:c r="H173" s="10" t="n">
        <x:v>2</x:v>
      </x:c>
      <x:c r="I173" s="11" t="n">
        <x:v>192</x:v>
      </x:c>
      <x:c r="J173" s="11" t="n">
        <x:v>96</x:v>
      </x:c>
      <x:c r="K173" s="11" t="n">
        <x:v>119.04</x:v>
      </x:c>
      <x:c r="L173" s="11" t="n">
        <x:v>384</x:v>
      </x:c>
      <x:c r="M173" s="11" t="n">
        <x:v>288</x:v>
      </x:c>
      <x:c r="N173" s="4" t="str">
        <x:f>IF(ISNUMBER(E173),"P"&amp;TEXT(E173,"000"),TRIM(E173))</x:f>
        <x:v>P016</x:v>
      </x:c>
      <x:c r="O173" s="4" t="n">
        <x:f>COUNTIFS(Products!$A$7:$A$66,N173)</x:f>
        <x:v>1</x:v>
      </x:c>
      <x:c r="P173" s="4" t="str">
        <x:f>IF(O173=0,"Unmatched",IF(O173&gt;1,"Ambiguous","Matched"))</x:f>
        <x:v>Matched</x:v>
      </x:c>
      <x:c r="Q173" s="4" t="str">
        <x:f>IF(O173&lt;&gt;1,P173,INDEX(Products!$C$7:$C$66,MATCH(N173,Products!$A$7:$A$66,0)))</x:f>
        <x:v>Home care</x:v>
      </x:c>
    </x:row>
    <x:row r="174" ht="22" customHeight="1">
      <x:c r="A174" s="4" t="str">
        <x:v>L2025-027453</x:v>
      </x:c>
      <x:c r="B174" s="4" t="str">
        <x:v>O2025-10982</x:v>
      </x:c>
      <x:c r="C174" s="9" t="n">
        <x:v>45992</x:v>
      </x:c>
      <x:c r="D174" s="4" t="str">
        <x:v>WEB</x:v>
      </x:c>
      <x:c r="E174" s="4" t="str">
        <x:v>P022</x:v>
      </x:c>
      <x:c r="F174" s="4" t="str">
        <x:f>IF(O174&lt;&gt;1,P174,_xlfn.XLOOKUP(N174,Products!$A$7:$A$66,Products!$B$7:$B$66,"Unmatched",0))</x:f>
        <x:v>Shoe rack</x:v>
      </x:c>
      <x:c r="G174" s="4" t="str">
        <x:f>IF(O174&lt;&gt;1,P174,_xlfn.XLOOKUP(N174,Products!$A$7:$A$66,Products!$C$7:$C$66,"Unmatched",0))</x:f>
        <x:v>Home care</x:v>
      </x:c>
      <x:c r="H174" s="10" t="n">
        <x:v>4</x:v>
      </x:c>
      <x:c r="I174" s="11" t="n">
        <x:v>336</x:v>
      </x:c>
      <x:c r="J174" s="11" t="n">
        <x:v>268.8</x:v>
      </x:c>
      <x:c r="K174" s="11" t="n">
        <x:v>208.32</x:v>
      </x:c>
      <x:c r="L174" s="11" t="n">
        <x:v>1344</x:v>
      </x:c>
      <x:c r="M174" s="11" t="n">
        <x:v>1075.2</x:v>
      </x:c>
      <x:c r="N174" s="4" t="str">
        <x:f>IF(ISNUMBER(E174),"P"&amp;TEXT(E174,"000"),TRIM(E174))</x:f>
        <x:v>P022</x:v>
      </x:c>
      <x:c r="O174" s="4" t="n">
        <x:f>COUNTIFS(Products!$A$7:$A$66,N174)</x:f>
        <x:v>1</x:v>
      </x:c>
      <x:c r="P174" s="4" t="str">
        <x:f>IF(O174=0,"Unmatched",IF(O174&gt;1,"Ambiguous","Matched"))</x:f>
        <x:v>Matched</x:v>
      </x:c>
      <x:c r="Q174" s="4" t="str">
        <x:f>IF(O174&lt;&gt;1,P174,INDEX(Products!$C$7:$C$66,MATCH(N174,Products!$A$7:$A$66,0)))</x:f>
        <x:v>Home care</x:v>
      </x:c>
    </x:row>
    <x:row r="175" ht="22" customHeight="1">
      <x:c r="A175" s="4" t="str">
        <x:v>L2025-027454</x:v>
      </x:c>
      <x:c r="B175" s="4" t="str">
        <x:v>O2025-10982</x:v>
      </x:c>
      <x:c r="C175" s="9" t="n">
        <x:v>45992</x:v>
      </x:c>
      <x:c r="D175" s="4" t="str">
        <x:v>WEB</x:v>
      </x:c>
      <x:c r="E175" s="4" t="str">
        <x:v>P023</x:v>
      </x:c>
      <x:c r="F175" s="4" t="str">
        <x:f>IF(O175&lt;&gt;1,P175,_xlfn.XLOOKUP(N175,Products!$A$7:$A$66,Products!$B$7:$B$66,"Unmatched",0))</x:f>
        <x:v>Door mat</x:v>
      </x:c>
      <x:c r="G175" s="4" t="str">
        <x:f>IF(O175&lt;&gt;1,P175,_xlfn.XLOOKUP(N175,Products!$A$7:$A$66,Products!$C$7:$C$66,"Unmatched",0))</x:f>
        <x:v>Home care</x:v>
      </x:c>
      <x:c r="H175" s="10" t="n">
        <x:v>1</x:v>
      </x:c>
      <x:c r="I175" s="11" t="n">
        <x:v>360</x:v>
      </x:c>
      <x:c r="J175" s="11" t="n">
        <x:v>54</x:v>
      </x:c>
      <x:c r="K175" s="11" t="n">
        <x:v>223.2</x:v>
      </x:c>
      <x:c r="L175" s="11" t="n">
        <x:v>360</x:v>
      </x:c>
      <x:c r="M175" s="11" t="n">
        <x:v>306</x:v>
      </x:c>
      <x:c r="N175" s="4" t="str">
        <x:f>IF(ISNUMBER(E175),"P"&amp;TEXT(E175,"000"),TRIM(E175))</x:f>
        <x:v>P023</x:v>
      </x:c>
      <x:c r="O175" s="4" t="n">
        <x:f>COUNTIFS(Products!$A$7:$A$66,N175)</x:f>
        <x:v>1</x:v>
      </x:c>
      <x:c r="P175" s="4" t="str">
        <x:f>IF(O175=0,"Unmatched",IF(O175&gt;1,"Ambiguous","Matched"))</x:f>
        <x:v>Matched</x:v>
      </x:c>
      <x:c r="Q175" s="4" t="str">
        <x:f>IF(O175&lt;&gt;1,P175,INDEX(Products!$C$7:$C$66,MATCH(N175,Products!$A$7:$A$66,0)))</x:f>
        <x:v>Home care</x:v>
      </x:c>
    </x:row>
    <x:row r="176" ht="22" customHeight="1">
      <x:c r="A176" s="4" t="str">
        <x:v>L2025-027455</x:v>
      </x:c>
      <x:c r="B176" s="4" t="str">
        <x:v>O2025-10982</x:v>
      </x:c>
      <x:c r="C176" s="9" t="n">
        <x:v>45992</x:v>
      </x:c>
      <x:c r="D176" s="4" t="str">
        <x:v>WEB</x:v>
      </x:c>
      <x:c r="E176" s="4" t="str">
        <x:v>P048</x:v>
      </x:c>
      <x:c r="F176" s="4" t="str">
        <x:f>IF(O176&lt;&gt;1,P176,_xlfn.XLOOKUP(N176,Products!$A$7:$A$66,Products!$B$7:$B$66,"Unmatched",0))</x:f>
        <x:v>Bath towel</x:v>
      </x:c>
      <x:c r="G176" s="4" t="str">
        <x:f>IF(O176&lt;&gt;1,P176,_xlfn.XLOOKUP(N176,Products!$A$7:$A$66,Products!$C$7:$C$66,"Unmatched",0))</x:f>
        <x:v>Personal care</x:v>
      </x:c>
      <x:c r="H176" s="10" t="n">
        <x:v>1</x:v>
      </x:c>
      <x:c r="I176" s="11" t="n">
        <x:v>448</x:v>
      </x:c>
      <x:c r="J176" s="11" t="n">
        <x:v>89.6</x:v>
      </x:c>
      <x:c r="K176" s="11" t="n">
        <x:v>286.72</x:v>
      </x:c>
      <x:c r="L176" s="11" t="n">
        <x:v>448</x:v>
      </x:c>
      <x:c r="M176" s="11" t="n">
        <x:v>358.4</x:v>
      </x:c>
      <x:c r="N176" s="4" t="str">
        <x:f>IF(ISNUMBER(E176),"P"&amp;TEXT(E176,"000"),TRIM(E176))</x:f>
        <x:v>P048</x:v>
      </x:c>
      <x:c r="O176" s="4" t="n">
        <x:f>COUNTIFS(Products!$A$7:$A$66,N176)</x:f>
        <x:v>1</x:v>
      </x:c>
      <x:c r="P176" s="4" t="str">
        <x:f>IF(O176=0,"Unmatched",IF(O176&gt;1,"Ambiguous","Matched"))</x:f>
        <x:v>Matched</x:v>
      </x:c>
      <x:c r="Q176" s="4" t="str">
        <x:f>IF(O176&lt;&gt;1,P176,INDEX(Products!$C$7:$C$66,MATCH(N176,Products!$A$7:$A$66,0)))</x:f>
        <x:v>Personal care</x:v>
      </x:c>
    </x:row>
    <x:row r="177" ht="22" customHeight="1">
      <x:c r="A177" s="4" t="str">
        <x:v>L2025-027961</x:v>
      </x:c>
      <x:c r="B177" s="4" t="str">
        <x:v>O2025-11185</x:v>
      </x:c>
      <x:c r="C177" s="9" t="n">
        <x:v>45998</x:v>
      </x:c>
      <x:c r="D177" s="4" t="str">
        <x:v>S04</x:v>
      </x:c>
      <x:c r="E177" s="4" t="str">
        <x:v>P037</x:v>
      </x:c>
      <x:c r="F177" s="4" t="str">
        <x:f>IF(O177&lt;&gt;1,P177,_xlfn.XLOOKUP(N177,Products!$A$7:$A$66,Products!$B$7:$B$66,"Unmatched",0))</x:f>
        <x:v>Soap pack</x:v>
      </x:c>
      <x:c r="G177" s="4" t="str">
        <x:f>IF(O177&lt;&gt;1,P177,_xlfn.XLOOKUP(N177,Products!$A$7:$A$66,Products!$C$7:$C$66,"Unmatched",0))</x:f>
        <x:v>Personal care</x:v>
      </x:c>
      <x:c r="H177" s="10" t="n">
        <x:v>4</x:v>
      </x:c>
      <x:c r="I177" s="11" t="n">
        <x:v>140</x:v>
      </x:c>
      <x:c r="J177" s="11" t="n">
        <x:v>84</x:v>
      </x:c>
      <x:c r="K177" s="11" t="n">
        <x:v>89.6</x:v>
      </x:c>
      <x:c r="L177" s="11" t="n">
        <x:v>560</x:v>
      </x:c>
      <x:c r="M177" s="11" t="n">
        <x:v>476</x:v>
      </x:c>
      <x:c r="N177" s="4" t="str">
        <x:f>IF(ISNUMBER(E177),"P"&amp;TEXT(E177,"000"),TRIM(E177))</x:f>
        <x:v>P037</x:v>
      </x:c>
      <x:c r="O177" s="4" t="n">
        <x:f>COUNTIFS(Products!$A$7:$A$66,N177)</x:f>
        <x:v>1</x:v>
      </x:c>
      <x:c r="P177" s="4" t="str">
        <x:f>IF(O177=0,"Unmatched",IF(O177&gt;1,"Ambiguous","Matched"))</x:f>
        <x:v>Matched</x:v>
      </x:c>
      <x:c r="Q177" s="4" t="str">
        <x:f>IF(O177&lt;&gt;1,P177,INDEX(Products!$C$7:$C$66,MATCH(N177,Products!$A$7:$A$66,0)))</x:f>
        <x:v>Personal care</x:v>
      </x:c>
    </x:row>
    <x:row r="178" ht="22" customHeight="1">
      <x:c r="A178" s="4" t="str">
        <x:v>L2025-027962</x:v>
      </x:c>
      <x:c r="B178" s="4" t="str">
        <x:v>O2025-11185</x:v>
      </x:c>
      <x:c r="C178" s="9" t="n">
        <x:v>45998</x:v>
      </x:c>
      <x:c r="D178" s="4" t="str">
        <x:v>S04</x:v>
      </x:c>
      <x:c r="E178" s="4" t="str">
        <x:v>P052</x:v>
      </x:c>
      <x:c r="F178" s="4" t="str">
        <x:f>IF(O178&lt;&gt;1,P178,_xlfn.XLOOKUP(N178,Products!$A$7:$A$66,Products!$B$7:$B$66,"Unmatched",0))</x:f>
        <x:v>USB hub</x:v>
      </x:c>
      <x:c r="G178" s="4" t="str">
        <x:f>IF(O178&lt;&gt;1,P178,_xlfn.XLOOKUP(N178,Products!$A$7:$A$66,Products!$C$7:$C$66,"Unmatched",0))</x:f>
        <x:v>Electronics</x:v>
      </x:c>
      <x:c r="H178" s="10" t="n">
        <x:v>5</x:v>
      </x:c>
      <x:c r="I178" s="11" t="n">
        <x:v>2000</x:v>
      </x:c>
      <x:c r="J178" s="11" t="n">
        <x:v>0</x:v>
      </x:c>
      <x:c r="K178" s="11" t="n">
        <x:v>1680</x:v>
      </x:c>
      <x:c r="L178" s="11" t="n">
        <x:v>10000</x:v>
      </x:c>
      <x:c r="M178" s="11" t="n">
        <x:v>10000</x:v>
      </x:c>
      <x:c r="N178" s="4" t="str">
        <x:f>IF(ISNUMBER(E178),"P"&amp;TEXT(E178,"000"),TRIM(E178))</x:f>
        <x:v>P052</x:v>
      </x:c>
      <x:c r="O178" s="4" t="n">
        <x:f>COUNTIFS(Products!$A$7:$A$66,N178)</x:f>
        <x:v>1</x:v>
      </x:c>
      <x:c r="P178" s="4" t="str">
        <x:f>IF(O178=0,"Unmatched",IF(O178&gt;1,"Ambiguous","Matched"))</x:f>
        <x:v>Matched</x:v>
      </x:c>
      <x:c r="Q178" s="4" t="str">
        <x:f>IF(O178&lt;&gt;1,P178,INDEX(Products!$C$7:$C$66,MATCH(N178,Products!$A$7:$A$66,0)))</x:f>
        <x:v>Electronics</x:v>
      </x:c>
    </x:row>
    <x:row r="179" ht="22" customHeight="1">
      <x:c r="A179" s="4" t="str">
        <x:v>L2025-028471</x:v>
      </x:c>
      <x:c r="B179" s="4" t="str">
        <x:v>O2025-11389</x:v>
      </x:c>
      <x:c r="C179" s="9" t="n">
        <x:v>46004</x:v>
      </x:c>
      <x:c r="D179" s="4" t="str">
        <x:v>S04</x:v>
      </x:c>
      <x:c r="E179" s="4" t="str">
        <x:v>P023</x:v>
      </x:c>
      <x:c r="F179" s="4" t="str">
        <x:f>IF(O179&lt;&gt;1,P179,_xlfn.XLOOKUP(N179,Products!$A$7:$A$66,Products!$B$7:$B$66,"Unmatched",0))</x:f>
        <x:v>Door mat</x:v>
      </x:c>
      <x:c r="G179" s="4" t="str">
        <x:f>IF(O179&lt;&gt;1,P179,_xlfn.XLOOKUP(N179,Products!$A$7:$A$66,Products!$C$7:$C$66,"Unmatched",0))</x:f>
        <x:v>Home care</x:v>
      </x:c>
      <x:c r="H179" s="10" t="n">
        <x:v>5</x:v>
      </x:c>
      <x:c r="I179" s="11" t="n">
        <x:v>360</x:v>
      </x:c>
      <x:c r="J179" s="11" t="n">
        <x:v>270</x:v>
      </x:c>
      <x:c r="K179" s="11" t="n">
        <x:v>223.2</x:v>
      </x:c>
      <x:c r="L179" s="11" t="n">
        <x:v>1800</x:v>
      </x:c>
      <x:c r="M179" s="11" t="n">
        <x:v>1530</x:v>
      </x:c>
      <x:c r="N179" s="4" t="str">
        <x:f>IF(ISNUMBER(E179),"P"&amp;TEXT(E179,"000"),TRIM(E179))</x:f>
        <x:v>P023</x:v>
      </x:c>
      <x:c r="O179" s="4" t="n">
        <x:f>COUNTIFS(Products!$A$7:$A$66,N179)</x:f>
        <x:v>1</x:v>
      </x:c>
      <x:c r="P179" s="4" t="str">
        <x:f>IF(O179=0,"Unmatched",IF(O179&gt;1,"Ambiguous","Matched"))</x:f>
        <x:v>Matched</x:v>
      </x:c>
      <x:c r="Q179" s="4" t="str">
        <x:f>IF(O179&lt;&gt;1,P179,INDEX(Products!$C$7:$C$66,MATCH(N179,Products!$A$7:$A$66,0)))</x:f>
        <x:v>Home care</x:v>
      </x:c>
    </x:row>
    <x:row r="180" ht="22" customHeight="1">
      <x:c r="A180" s="4" t="str">
        <x:v>L2025-028472</x:v>
      </x:c>
      <x:c r="B180" s="4" t="str">
        <x:v>O2025-11389</x:v>
      </x:c>
      <x:c r="C180" s="9" t="n">
        <x:v>46004</x:v>
      </x:c>
      <x:c r="D180" s="4" t="str">
        <x:v>S04</x:v>
      </x:c>
      <x:c r="E180" s="4" t="str">
        <x:v>P053</x:v>
      </x:c>
      <x:c r="F180" s="4" t="str">
        <x:f>IF(O180&lt;&gt;1,P180,_xlfn.XLOOKUP(N180,Products!$A$7:$A$66,Products!$B$7:$B$66,"Unmatched",0))</x:f>
        <x:v>Desk light</x:v>
      </x:c>
      <x:c r="G180" s="4" t="str">
        <x:f>IF(O180&lt;&gt;1,P180,_xlfn.XLOOKUP(N180,Products!$A$7:$A$66,Products!$C$7:$C$66,"Unmatched",0))</x:f>
        <x:v>Electronics</x:v>
      </x:c>
      <x:c r="H180" s="10" t="n">
        <x:v>2</x:v>
      </x:c>
      <x:c r="I180" s="11" t="n">
        <x:v>2250</x:v>
      </x:c>
      <x:c r="J180" s="11" t="n">
        <x:v>0</x:v>
      </x:c>
      <x:c r="K180" s="11" t="n">
        <x:v>1890</x:v>
      </x:c>
      <x:c r="L180" s="11" t="n">
        <x:v>4500</x:v>
      </x:c>
      <x:c r="M180" s="11" t="n">
        <x:v>4500</x:v>
      </x:c>
      <x:c r="N180" s="4" t="str">
        <x:f>IF(ISNUMBER(E180),"P"&amp;TEXT(E180,"000"),TRIM(E180))</x:f>
        <x:v>P053</x:v>
      </x:c>
      <x:c r="O180" s="4" t="n">
        <x:f>COUNTIFS(Products!$A$7:$A$66,N180)</x:f>
        <x:v>1</x:v>
      </x:c>
      <x:c r="P180" s="4" t="str">
        <x:f>IF(O180=0,"Unmatched",IF(O180&gt;1,"Ambiguous","Matched"))</x:f>
        <x:v>Matched</x:v>
      </x:c>
      <x:c r="Q180" s="4" t="str">
        <x:f>IF(O180&lt;&gt;1,P180,INDEX(Products!$C$7:$C$66,MATCH(N180,Products!$A$7:$A$66,0)))</x:f>
        <x:v>Electronics</x:v>
      </x:c>
    </x:row>
    <x:row r="181" ht="22" customHeight="1">
      <x:c r="A181" s="4" t="str">
        <x:v>L2025-028978</x:v>
      </x:c>
      <x:c r="B181" s="4" t="str">
        <x:v>O2025-11592</x:v>
      </x:c>
      <x:c r="C181" s="9" t="n">
        <x:v>46010</x:v>
      </x:c>
      <x:c r="D181" s="4" t="str">
        <x:v>S04</x:v>
      </x:c>
      <x:c r="E181" s="4" t="str">
        <x:v>P059</x:v>
      </x:c>
      <x:c r="F181" s="4" t="str">
        <x:f>IF(O181&lt;&gt;1,P181,_xlfn.XLOOKUP(N181,Products!$A$7:$A$66,Products!$B$7:$B$66,"Unmatched",0))</x:f>
        <x:v>Monitor</x:v>
      </x:c>
      <x:c r="G181" s="4" t="str">
        <x:f>IF(O181&lt;&gt;1,P181,_xlfn.XLOOKUP(N181,Products!$A$7:$A$66,Products!$C$7:$C$66,"Unmatched",0))</x:f>
        <x:v>Electronics</x:v>
      </x:c>
      <x:c r="H181" s="10" t="n">
        <x:v>4</x:v>
      </x:c>
      <x:c r="I181" s="11" t="n">
        <x:v>3750</x:v>
      </x:c>
      <x:c r="J181" s="11" t="n">
        <x:v>3000</x:v>
      </x:c>
      <x:c r="K181" s="11" t="n">
        <x:v>3150</x:v>
      </x:c>
      <x:c r="L181" s="11" t="n">
        <x:v>15000</x:v>
      </x:c>
      <x:c r="M181" s="11" t="n">
        <x:v>12000</x:v>
      </x:c>
      <x:c r="N181" s="4" t="str">
        <x:f>IF(ISNUMBER(E181),"P"&amp;TEXT(E181,"000"),TRIM(E181))</x:f>
        <x:v>P059</x:v>
      </x:c>
      <x:c r="O181" s="4" t="n">
        <x:f>COUNTIFS(Products!$A$7:$A$66,N181)</x:f>
        <x:v>1</x:v>
      </x:c>
      <x:c r="P181" s="4" t="str">
        <x:f>IF(O181=0,"Unmatched",IF(O181&gt;1,"Ambiguous","Matched"))</x:f>
        <x:v>Matched</x:v>
      </x:c>
      <x:c r="Q181" s="4" t="str">
        <x:f>IF(O181&lt;&gt;1,P181,INDEX(Products!$C$7:$C$66,MATCH(N181,Products!$A$7:$A$66,0)))</x:f>
        <x:v>Electronics</x:v>
      </x:c>
    </x:row>
    <x:row r="182" ht="22" customHeight="1">
      <x:c r="A182" s="4" t="str">
        <x:v>L2025-028979</x:v>
      </x:c>
      <x:c r="B182" s="4" t="str">
        <x:v>O2025-11592</x:v>
      </x:c>
      <x:c r="C182" s="9" t="n">
        <x:v>46010</x:v>
      </x:c>
      <x:c r="D182" s="4" t="str">
        <x:v>S04</x:v>
      </x:c>
      <x:c r="E182" s="4" t="str">
        <x:v>P030</x:v>
      </x:c>
      <x:c r="F182" s="4" t="str">
        <x:f>IF(O182&lt;&gt;1,P182,_xlfn.XLOOKUP(N182,Products!$A$7:$A$66,Products!$B$7:$B$66,"Unmatched",0))</x:f>
        <x:v>Folder</x:v>
      </x:c>
      <x:c r="G182" s="4" t="str">
        <x:f>IF(O182&lt;&gt;1,P182,_xlfn.XLOOKUP(N182,Products!$A$7:$A$66,Products!$C$7:$C$66,"Unmatched",0))</x:f>
        <x:v>Stationery</x:v>
      </x:c>
      <x:c r="H182" s="10" t="n">
        <x:v>3</x:v>
      </x:c>
      <x:c r="I182" s="11" t="n">
        <x:v>100</x:v>
      </x:c>
      <x:c r="J182" s="11" t="n">
        <x:v>45</x:v>
      </x:c>
      <x:c r="K182" s="11" t="n">
        <x:v>52</x:v>
      </x:c>
      <x:c r="L182" s="11" t="n">
        <x:v>300</x:v>
      </x:c>
      <x:c r="M182" s="11" t="n">
        <x:v>255</x:v>
      </x:c>
      <x:c r="N182" s="4" t="str">
        <x:f>IF(ISNUMBER(E182),"P"&amp;TEXT(E182,"000"),TRIM(E182))</x:f>
        <x:v>P030</x:v>
      </x:c>
      <x:c r="O182" s="4" t="n">
        <x:f>COUNTIFS(Products!$A$7:$A$66,N182)</x:f>
        <x:v>1</x:v>
      </x:c>
      <x:c r="P182" s="4" t="str">
        <x:f>IF(O182=0,"Unmatched",IF(O182&gt;1,"Ambiguous","Matched"))</x:f>
        <x:v>Matched</x:v>
      </x:c>
      <x:c r="Q182" s="4" t="str">
        <x:f>IF(O182&lt;&gt;1,P182,INDEX(Products!$C$7:$C$66,MATCH(N182,Products!$A$7:$A$66,0)))</x:f>
        <x:v>Stationery</x:v>
      </x:c>
    </x:row>
    <x:row r="183" ht="22" customHeight="1">
      <x:c r="A183" s="4" t="str">
        <x:v>L2025-028980</x:v>
      </x:c>
      <x:c r="B183" s="4" t="str">
        <x:v>O2025-11592</x:v>
      </x:c>
      <x:c r="C183" s="9" t="n">
        <x:v>46010</x:v>
      </x:c>
      <x:c r="D183" s="4" t="str">
        <x:v>S04</x:v>
      </x:c>
      <x:c r="E183" s="4" t="str">
        <x:v>P058</x:v>
      </x:c>
      <x:c r="F183" s="4" t="str">
        <x:f>IF(O183&lt;&gt;1,P183,_xlfn.XLOOKUP(N183,Products!$A$7:$A$66,Products!$B$7:$B$66,"Unmatched",0))</x:f>
        <x:v>Router</x:v>
      </x:c>
      <x:c r="G183" s="4" t="str">
        <x:f>IF(O183&lt;&gt;1,P183,_xlfn.XLOOKUP(N183,Products!$A$7:$A$66,Products!$C$7:$C$66,"Unmatched",0))</x:f>
        <x:v>Electronics</x:v>
      </x:c>
      <x:c r="H183" s="10" t="n">
        <x:v>5</x:v>
      </x:c>
      <x:c r="I183" s="11" t="n">
        <x:v>3500</x:v>
      </x:c>
      <x:c r="J183" s="11" t="n">
        <x:v>3500</x:v>
      </x:c>
      <x:c r="K183" s="11" t="n">
        <x:v>2940</x:v>
      </x:c>
      <x:c r="L183" s="11" t="n">
        <x:v>17500</x:v>
      </x:c>
      <x:c r="M183" s="11" t="n">
        <x:v>14000</x:v>
      </x:c>
      <x:c r="N183" s="4" t="str">
        <x:f>IF(ISNUMBER(E183),"P"&amp;TEXT(E183,"000"),TRIM(E183))</x:f>
        <x:v>P058</x:v>
      </x:c>
      <x:c r="O183" s="4" t="n">
        <x:f>COUNTIFS(Products!$A$7:$A$66,N183)</x:f>
        <x:v>1</x:v>
      </x:c>
      <x:c r="P183" s="4" t="str">
        <x:f>IF(O183=0,"Unmatched",IF(O183&gt;1,"Ambiguous","Matched"))</x:f>
        <x:v>Matched</x:v>
      </x:c>
      <x:c r="Q183" s="4" t="str">
        <x:f>IF(O183&lt;&gt;1,P183,INDEX(Products!$C$7:$C$66,MATCH(N183,Products!$A$7:$A$66,0)))</x:f>
        <x:v>Electronics</x:v>
      </x:c>
    </x:row>
    <x:row r="184" ht="22" customHeight="1">
      <x:c r="A184" s="4" t="str">
        <x:v>L2025-029488</x:v>
      </x:c>
      <x:c r="B184" s="4" t="str">
        <x:v>O2025-11796</x:v>
      </x:c>
      <x:c r="C184" s="9" t="n">
        <x:v>46016</x:v>
      </x:c>
      <x:c r="D184" s="4" t="str">
        <x:v>WEB</x:v>
      </x:c>
      <x:c r="E184" s="4" t="str">
        <x:v>P005</x:v>
      </x:c>
      <x:c r="F184" s="4" t="str">
        <x:f>IF(O184&lt;&gt;1,P184,_xlfn.XLOOKUP(N184,Products!$A$7:$A$66,Products!$B$7:$B$66,"Unmatched",0))</x:f>
        <x:v>Water bottle</x:v>
      </x:c>
      <x:c r="G184" s="4" t="str">
        <x:f>IF(O184&lt;&gt;1,P184,_xlfn.XLOOKUP(N184,Products!$A$7:$A$66,Products!$C$7:$C$66,"Unmatched",0))</x:f>
        <x:v>Kitchen</x:v>
      </x:c>
      <x:c r="H184" s="10" t="n">
        <x:v>5</x:v>
      </x:c>
      <x:c r="I184" s="11" t="n">
        <x:v>324</x:v>
      </x:c>
      <x:c r="J184" s="11" t="n">
        <x:v>324</x:v>
      </x:c>
      <x:c r="K184" s="11" t="n">
        <x:v>194.4</x:v>
      </x:c>
      <x:c r="L184" s="11" t="n">
        <x:v>1620</x:v>
      </x:c>
      <x:c r="M184" s="11" t="n">
        <x:v>1296</x:v>
      </x:c>
      <x:c r="N184" s="4" t="str">
        <x:f>IF(ISNUMBER(E184),"P"&amp;TEXT(E184,"000"),TRIM(E184))</x:f>
        <x:v>P005</x:v>
      </x:c>
      <x:c r="O184" s="4" t="n">
        <x:f>COUNTIFS(Products!$A$7:$A$66,N184)</x:f>
        <x:v>1</x:v>
      </x:c>
      <x:c r="P184" s="4" t="str">
        <x:f>IF(O184=0,"Unmatched",IF(O184&gt;1,"Ambiguous","Matched"))</x:f>
        <x:v>Matched</x:v>
      </x:c>
      <x:c r="Q184" s="4" t="str">
        <x:f>IF(O184&lt;&gt;1,P184,INDEX(Products!$C$7:$C$66,MATCH(N184,Products!$A$7:$A$66,0)))</x:f>
        <x:v>Kitchen</x:v>
      </x:c>
    </x:row>
    <x:row r="185" ht="22" customHeight="1">
      <x:c r="A185" s="4" t="str">
        <x:v>L2025-029489</x:v>
      </x:c>
      <x:c r="B185" s="4" t="str">
        <x:v>O2025-11796</x:v>
      </x:c>
      <x:c r="C185" s="9" t="n">
        <x:v>46016</x:v>
      </x:c>
      <x:c r="D185" s="4" t="str">
        <x:v>WEB</x:v>
      </x:c>
      <x:c r="E185" s="4" t="str">
        <x:v>P058</x:v>
      </x:c>
      <x:c r="F185" s="4" t="str">
        <x:f>IF(O185&lt;&gt;1,P185,_xlfn.XLOOKUP(N185,Products!$A$7:$A$66,Products!$B$7:$B$66,"Unmatched",0))</x:f>
        <x:v>Router</x:v>
      </x:c>
      <x:c r="G185" s="4" t="str">
        <x:f>IF(O185&lt;&gt;1,P185,_xlfn.XLOOKUP(N185,Products!$A$7:$A$66,Products!$C$7:$C$66,"Unmatched",0))</x:f>
        <x:v>Electronics</x:v>
      </x:c>
      <x:c r="H185" s="10" t="n">
        <x:v>5</x:v>
      </x:c>
      <x:c r="I185" s="11" t="n">
        <x:v>3500</x:v>
      </x:c>
      <x:c r="J185" s="11" t="n">
        <x:v>2625</x:v>
      </x:c>
      <x:c r="K185" s="11" t="n">
        <x:v>2940</x:v>
      </x:c>
      <x:c r="L185" s="11" t="n">
        <x:v>17500</x:v>
      </x:c>
      <x:c r="M185" s="11" t="n">
        <x:v>14875</x:v>
      </x:c>
      <x:c r="N185" s="4" t="str">
        <x:f>IF(ISNUMBER(E185),"P"&amp;TEXT(E185,"000"),TRIM(E185))</x:f>
        <x:v>P058</x:v>
      </x:c>
      <x:c r="O185" s="4" t="n">
        <x:f>COUNTIFS(Products!$A$7:$A$66,N185)</x:f>
        <x:v>1</x:v>
      </x:c>
      <x:c r="P185" s="4" t="str">
        <x:f>IF(O185=0,"Unmatched",IF(O185&gt;1,"Ambiguous","Matched"))</x:f>
        <x:v>Matched</x:v>
      </x:c>
      <x:c r="Q185" s="4" t="str">
        <x:f>IF(O185&lt;&gt;1,P185,INDEX(Products!$C$7:$C$66,MATCH(N185,Products!$A$7:$A$66,0)))</x:f>
        <x:v>Electronics</x:v>
      </x:c>
    </x:row>
    <x:row r="186" ht="22" customHeight="1">
      <x:c r="A186" s="4" t="str">
        <x:v>L2025-029490</x:v>
      </x:c>
      <x:c r="B186" s="4" t="str">
        <x:v>O2025-11796</x:v>
      </x:c>
      <x:c r="C186" s="9" t="n">
        <x:v>46016</x:v>
      </x:c>
      <x:c r="D186" s="4" t="str">
        <x:v>WEB</x:v>
      </x:c>
      <x:c r="E186" s="4" t="str">
        <x:v>P004</x:v>
      </x:c>
      <x:c r="F186" s="4" t="str">
        <x:f>IF(O186&lt;&gt;1,P186,_xlfn.XLOOKUP(N186,Products!$A$7:$A$66,Products!$B$7:$B$66,"Unmatched",0))</x:f>
        <x:v>Serving bowl</x:v>
      </x:c>
      <x:c r="G186" s="4" t="str">
        <x:f>IF(O186&lt;&gt;1,P186,_xlfn.XLOOKUP(N186,Products!$A$7:$A$66,Products!$C$7:$C$66,"Unmatched",0))</x:f>
        <x:v>Kitchen</x:v>
      </x:c>
      <x:c r="H186" s="10" t="n">
        <x:v>5</x:v>
      </x:c>
      <x:c r="I186" s="11" t="n">
        <x:v>288</x:v>
      </x:c>
      <x:c r="J186" s="11" t="n">
        <x:v>144</x:v>
      </x:c>
      <x:c r="K186" s="11" t="n">
        <x:v>172.8</x:v>
      </x:c>
      <x:c r="L186" s="11" t="n">
        <x:v>1440</x:v>
      </x:c>
      <x:c r="M186" s="11" t="n">
        <x:v>1296</x:v>
      </x:c>
      <x:c r="N186" s="4" t="str">
        <x:f>IF(ISNUMBER(E186),"P"&amp;TEXT(E186,"000"),TRIM(E186))</x:f>
        <x:v>P004</x:v>
      </x:c>
      <x:c r="O186" s="4" t="n">
        <x:f>COUNTIFS(Products!$A$7:$A$66,N186)</x:f>
        <x:v>1</x:v>
      </x:c>
      <x:c r="P186" s="4" t="str">
        <x:f>IF(O186=0,"Unmatched",IF(O186&gt;1,"Ambiguous","Matched"))</x:f>
        <x:v>Matched</x:v>
      </x:c>
      <x:c r="Q186" s="4" t="str">
        <x:f>IF(O186&lt;&gt;1,P186,INDEX(Products!$C$7:$C$66,MATCH(N186,Products!$A$7:$A$66,0)))</x:f>
        <x:v>Kitchen</x:v>
      </x:c>
    </x:row>
    <x:row r="187" ht="22" customHeight="1">
      <x:c r="A187" s="4" t="str">
        <x:v>L2025-029998</x:v>
      </x:c>
      <x:c r="B187" s="4" t="str">
        <x:v>O2025-12000</x:v>
      </x:c>
      <x:c r="C187" s="9" t="n">
        <x:v>46022</x:v>
      </x:c>
      <x:c r="D187" s="4" t="str">
        <x:v>S02</x:v>
      </x:c>
      <x:c r="E187" s="4" t="str">
        <x:v>P048</x:v>
      </x:c>
      <x:c r="F187" s="4" t="str">
        <x:f>IF(O187&lt;&gt;1,P187,_xlfn.XLOOKUP(N187,Products!$A$7:$A$66,Products!$B$7:$B$66,"Unmatched",0))</x:f>
        <x:v>Bath towel</x:v>
      </x:c>
      <x:c r="G187" s="4" t="str">
        <x:f>IF(O187&lt;&gt;1,P187,_xlfn.XLOOKUP(N187,Products!$A$7:$A$66,Products!$C$7:$C$66,"Unmatched",0))</x:f>
        <x:v>Personal care</x:v>
      </x:c>
      <x:c r="H187" s="10" t="n">
        <x:v>1</x:v>
      </x:c>
      <x:c r="I187" s="11" t="n">
        <x:v>448</x:v>
      </x:c>
      <x:c r="J187" s="11" t="n">
        <x:v>67.2</x:v>
      </x:c>
      <x:c r="K187" s="11" t="n">
        <x:v>286.72</x:v>
      </x:c>
      <x:c r="L187" s="11" t="n">
        <x:v>448</x:v>
      </x:c>
      <x:c r="M187" s="11" t="n">
        <x:v>380.8</x:v>
      </x:c>
      <x:c r="N187" s="4" t="str">
        <x:f>IF(ISNUMBER(E187),"P"&amp;TEXT(E187,"000"),TRIM(E187))</x:f>
        <x:v>P048</x:v>
      </x:c>
      <x:c r="O187" s="4" t="n">
        <x:f>COUNTIFS(Products!$A$7:$A$66,N187)</x:f>
        <x:v>1</x:v>
      </x:c>
      <x:c r="P187" s="4" t="str">
        <x:f>IF(O187=0,"Unmatched",IF(O187&gt;1,"Ambiguous","Matched"))</x:f>
        <x:v>Matched</x:v>
      </x:c>
      <x:c r="Q187" s="4" t="str">
        <x:f>IF(O187&lt;&gt;1,P187,INDEX(Products!$C$7:$C$66,MATCH(N187,Products!$A$7:$A$66,0)))</x:f>
        <x:v>Personal care</x:v>
      </x:c>
    </x:row>
    <x:row r="188" ht="22" customHeight="1">
      <x:c r="A188" s="4" t="str">
        <x:v>L2025-029999</x:v>
      </x:c>
      <x:c r="B188" s="4" t="str">
        <x:v>O2025-12000</x:v>
      </x:c>
      <x:c r="C188" s="9" t="n">
        <x:v>46022</x:v>
      </x:c>
      <x:c r="D188" s="4" t="str">
        <x:v>S02</x:v>
      </x:c>
      <x:c r="E188" s="4" t="str">
        <x:v>P036</x:v>
      </x:c>
      <x:c r="F188" s="4" t="str">
        <x:f>IF(O188&lt;&gt;1,P188,_xlfn.XLOOKUP(N188,Products!$A$7:$A$66,Products!$B$7:$B$66,"Unmatched",0))</x:f>
        <x:v>Paper pack</x:v>
      </x:c>
      <x:c r="G188" s="4" t="str">
        <x:f>IF(O188&lt;&gt;1,P188,_xlfn.XLOOKUP(N188,Products!$A$7:$A$66,Products!$C$7:$C$66,"Unmatched",0))</x:f>
        <x:v>Stationery</x:v>
      </x:c>
      <x:c r="H188" s="10" t="n">
        <x:v>4</x:v>
      </x:c>
      <x:c r="I188" s="11" t="n">
        <x:v>160</x:v>
      </x:c>
      <x:c r="J188" s="11" t="n">
        <x:v>0</x:v>
      </x:c>
      <x:c r="K188" s="11" t="n">
        <x:v>83.2</x:v>
      </x:c>
      <x:c r="L188" s="11" t="n">
        <x:v>640</x:v>
      </x:c>
      <x:c r="M188" s="11" t="n">
        <x:v>640</x:v>
      </x:c>
      <x:c r="N188" s="4" t="str">
        <x:f>IF(ISNUMBER(E188),"P"&amp;TEXT(E188,"000"),TRIM(E188))</x:f>
        <x:v>P036</x:v>
      </x:c>
      <x:c r="O188" s="4" t="n">
        <x:f>COUNTIFS(Products!$A$7:$A$66,N188)</x:f>
        <x:v>1</x:v>
      </x:c>
      <x:c r="P188" s="4" t="str">
        <x:f>IF(O188=0,"Unmatched",IF(O188&gt;1,"Ambiguous","Matched"))</x:f>
        <x:v>Matched</x:v>
      </x:c>
      <x:c r="Q188" s="4" t="str">
        <x:f>IF(O188&lt;&gt;1,P188,INDEX(Products!$C$7:$C$66,MATCH(N188,Products!$A$7:$A$66,0)))</x:f>
        <x:v>Stationery</x:v>
      </x:c>
    </x:row>
    <x:row r="189" ht="22" customHeight="1">
      <x:c r="A189" s="4" t="str">
        <x:v>L2025-030000</x:v>
      </x:c>
      <x:c r="B189" s="4" t="str">
        <x:v>O2025-12000</x:v>
      </x:c>
      <x:c r="C189" s="9" t="n">
        <x:v>46022</x:v>
      </x:c>
      <x:c r="D189" s="4" t="str">
        <x:v>S02</x:v>
      </x:c>
      <x:c r="E189" s="4" t="str">
        <x:v>P059</x:v>
      </x:c>
      <x:c r="F189" s="4" t="str">
        <x:f>IF(O189&lt;&gt;1,P189,_xlfn.XLOOKUP(N189,Products!$A$7:$A$66,Products!$B$7:$B$66,"Unmatched",0))</x:f>
        <x:v>Monitor</x:v>
      </x:c>
      <x:c r="G189" s="4" t="str">
        <x:f>IF(O189&lt;&gt;1,P189,_xlfn.XLOOKUP(N189,Products!$A$7:$A$66,Products!$C$7:$C$66,"Unmatched",0))</x:f>
        <x:v>Electronics</x:v>
      </x:c>
      <x:c r="H189" s="10" t="n">
        <x:v>3</x:v>
      </x:c>
      <x:c r="I189" s="11" t="n">
        <x:v>3750</x:v>
      </x:c>
      <x:c r="J189" s="11" t="n">
        <x:v>0</x:v>
      </x:c>
      <x:c r="K189" s="11" t="n">
        <x:v>3150</x:v>
      </x:c>
      <x:c r="L189" s="11" t="n">
        <x:v>11250</x:v>
      </x:c>
      <x:c r="M189" s="11" t="n">
        <x:v>11250</x:v>
      </x:c>
      <x:c r="N189" s="4" t="str">
        <x:f>IF(ISNUMBER(E189),"P"&amp;TEXT(E189,"000"),TRIM(E189))</x:f>
        <x:v>P059</x:v>
      </x:c>
      <x:c r="O189" s="4" t="n">
        <x:f>COUNTIFS(Products!$A$7:$A$66,N189)</x:f>
        <x:v>1</x:v>
      </x:c>
      <x:c r="P189" s="4" t="str">
        <x:f>IF(O189=0,"Unmatched",IF(O189&gt;1,"Ambiguous","Matched"))</x:f>
        <x:v>Matched</x:v>
      </x:c>
      <x:c r="Q189" s="4" t="str">
        <x:f>IF(O189&lt;&gt;1,P189,INDEX(Products!$C$7:$C$66,MATCH(N189,Products!$A$7:$A$66,0)))</x:f>
        <x:v>Electronics</x:v>
      </x:c>
    </x:row>
  </x:sheetData>
  <x:pageMargins left="0.7" right="0.7" top="0.75" bottom="0.75" header="0.3" footer="0.3"/>
  <x:tableParts count="1">
    <x:tablePart xmlns:r="http://schemas.openxmlformats.org/officeDocument/2006/relationships" r:id="R8aa517aee6974e3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0" hidden="0" customWidth="1"/>
    <x:col min="4" max="4" width="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Ambiguous master-key exercise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This isolated fixture is not the approved product master.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Product ID</x:v>
      </x:c>
      <x:c r="B6" s="8" t="str">
        <x:v>Category</x:v>
      </x:c>
      <x:c r="C6" s="8" t="str">
        <x:v>Key count</x:v>
      </x:c>
      <x:c r="D6" s="8" t="str">
        <x:v>Decision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P001</x:v>
      </x:c>
      <x:c r="B7" s="4" t="str">
        <x:v>Kitchen</x:v>
      </x:c>
      <x:c r="C7" s="4" t="n">
        <x:f>COUNTIFS($A$7:$A$8,A7)</x:f>
        <x:v>2</x:v>
      </x:c>
      <x:c r="D7" s="4" t="str">
        <x:f>IF(C7&gt;1,"Ambiguous","Unique")</x:f>
        <x:v>Ambiguous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P001</x:v>
      </x:c>
      <x:c r="B8" s="4" t="str">
        <x:v>Electronics</x:v>
      </x:c>
      <x:c r="C8" s="4" t="n">
        <x:f>COUNTIFS($A$7:$A$8,A8)</x:f>
        <x:v>2</x:v>
      </x:c>
      <x:c r="D8" s="4" t="str">
        <x:f>IF(C8&gt;1,"Ambiguous","Unique")</x:f>
        <x:v>Ambiguous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74" hidden="0" customWidth="1"/>
    <x:col min="3" max="3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Chapter 8 — Worked solution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All business data is fictional. Amounts are INR, excluding tax.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Exercise</x:v>
      </x:c>
      <x:c r="B6" s="8" t="str">
        <x:v>Task</x:v>
      </x:c>
      <x:c r="C6" s="8" t="str">
        <x:v>Save as / check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50" customHeight="1">
      <x:c r="A7" s="4" t="str">
        <x:v>CH08-E01</x:v>
      </x:c>
      <x:c r="B7" s="12" t="str">
        <x:v>Check Products keys are unique. Inspect Duplicate case separately.</x:v>
      </x:c>
      <x:c r="C7" s="12" t="str">
        <x:v>Never accept an arbitrary first match for ambiguous keys.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50" customHeight="1">
      <x:c r="A8" s="4" t="str">
        <x:v>CH08-E02</x:v>
      </x:c>
      <x:c r="B8" s="12" t="str">
        <x:v>Normalize E into N; count matches in O; return labels in F/G.</x:v>
      </x:c>
      <x:c r="C8" s="12" t="str">
        <x:v>Use exact-match XLOOKUP; INDEX/MATCH fallback goes in Q.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50" customHeight="1">
      <x:c r="A9" s="4" t="str">
        <x:v>CH08-E03</x:v>
      </x:c>
      <x:c r="B9" s="12" t="str">
        <x:v>Flag the unknown P999 in the first sale row.</x:v>
      </x:c>
      <x:c r="C9" s="12" t="str">
        <x:v>Keep the row and amount; do not invent its category.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50" customHeight="1">
      <x:c r="A10" s="4" t="str">
        <x:v>CH08-E04</x:v>
      </x:c>
      <x:c r="B10" s="12" t="str">
        <x:v>Supplier numeric codes map to P + three digits: 25 means P025.</x:v>
      </x:c>
      <x:c r="C10" s="12" t="str">
        <x:v>Repair numeric E8 using this documented rule; keep K historical cost.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