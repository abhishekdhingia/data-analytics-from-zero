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b48f93b5a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a5fdcf4e14a4a58"/>
    <x:sheet xmlns:r="http://schemas.openxmlformats.org/officeDocument/2006/relationships" name="Sales" sheetId="2" r:id="R5929c1f4e5cf4aee"/>
    <x:sheet xmlns:r="http://schemas.openxmlformats.org/officeDocument/2006/relationships" name="Summary" sheetId="3" r:id="R6cf819e4a3144f65"/>
    <x:sheet xmlns:r="http://schemas.openxmlformats.org/officeDocument/2006/relationships" name="Guide" sheetId="4" r:id="R657b41b8549b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INR &quot;#,##0.00;[Red](&quot;INR &quot;#,##0.00)"/>
    <x:numFmt numFmtId="201" formatCode="yyyy-mm-dd"/>
    <x:numFmt numFmtId="202" formatCode="0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77e25672e486f" /><Relationship Type="http://schemas.openxmlformats.org/officeDocument/2006/relationships/theme" Target="/xl/theme/theme1.xml" Id="Ref482ebb77944658" /><Relationship Type="http://schemas.openxmlformats.org/officeDocument/2006/relationships/sharedStrings" Target="/xl/sharedStrings.xml" Id="Rcdf401cc1d144ea4" /><Relationship Type="http://schemas.openxmlformats.org/officeDocument/2006/relationships/worksheet" Target="/xl/worksheets/sheet1.xml" Id="R0a5fdcf4e14a4a58" /><Relationship Type="http://schemas.openxmlformats.org/officeDocument/2006/relationships/worksheet" Target="/xl/worksheets/sheet2.xml" Id="R5929c1f4e5cf4aee" /><Relationship Type="http://schemas.openxmlformats.org/officeDocument/2006/relationships/worksheet" Target="/xl/worksheets/sheet3.xml" Id="R6cf819e4a3144f65" /><Relationship Type="http://schemas.openxmlformats.org/officeDocument/2006/relationships/worksheet" Target="/xl/worksheets/sheet4.xml" Id="R657b41b8549b4b60" /></Relationships>
</file>

<file path=xl/tables/table1.xml><?xml version="1.0" encoding="utf-8"?>
<x:table xmlns:x="http://schemas.openxmlformats.org/spreadsheetml/2006/main" id="1" name="SalesData" displayName="SalesData" ref="A6:N189" headerRowCount="1" totalsRowCount="0" totalsRowShown="0">
  <x:tableColumns count="14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First order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deff44d95548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report — selected 2025 orders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sale lines. INR, after discount, before refunds. This sample cannot establish annual performance.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3" customHeight="1">
      <x:c r="A7" s="1" t="str">
        <x:v>Create a monthly line chart and a ranked category bar chart.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3" customHeight="1">
      <x:c r="A9" s="1" t="str">
        <x:v>Use Summary values. Add units, scope, three findings and one limitation.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/>
    <x:row r="37" ht="23" customHeight="1"/>
    <x:row r="38" ht="23" customHeight="1"/>
    <x:row r="39" ht="23" customHeight="1"/>
    <x:row r="40" ht="23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First order line</x:v>
      </x:c>
      <x:c r="O6" s="1"/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14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5" t="n">
        <x:v>3</x:v>
      </x:c>
      <x:c r="I7" s="9" t="n">
        <x:v>1250</x:v>
      </x:c>
      <x:c r="J7" s="9" t="n">
        <x:v>750</x:v>
      </x:c>
      <x:c r="K7" s="9" t="n">
        <x:v>1050</x:v>
      </x:c>
      <x:c r="L7" s="9" t="n">
        <x:f>ROUND(H7*I7,2)</x:f>
        <x:v>3750</x:v>
      </x:c>
      <x:c r="M7" s="9" t="n">
        <x:f>L7-J7</x:f>
        <x:v>3000</x:v>
      </x:c>
      <x:c r="N7" s="4" t="n">
        <x:f>IF(COUNTIFS($B$7:B7,B7)=1,1,0)</x:f>
        <x:v>1</x:v>
      </x:c>
      <x:c r="O7" s="1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14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5" t="n">
        <x:v>3</x:v>
      </x:c>
      <x:c r="I8" s="9" t="n">
        <x:v>540</x:v>
      </x:c>
      <x:c r="J8" s="9" t="n">
        <x:v>243</x:v>
      </x:c>
      <x:c r="K8" s="9" t="n">
        <x:v>324</x:v>
      </x:c>
      <x:c r="L8" s="9" t="n">
        <x:f>ROUND(H8*I8,2)</x:f>
        <x:v>1620</x:v>
      </x:c>
      <x:c r="M8" s="9" t="n">
        <x:f>L8-J8</x:f>
        <x:v>1377</x:v>
      </x:c>
      <x:c r="N8" s="4" t="n">
        <x:f>IF(COUNTIFS($B$7:B8,B8)=1,1,0)</x:f>
        <x:v>0</x:v>
      </x:c>
      <x:c r="O8" s="1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14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5" t="n">
        <x:v>5</x:v>
      </x:c>
      <x:c r="I9" s="9" t="n">
        <x:v>224</x:v>
      </x:c>
      <x:c r="J9" s="9" t="n">
        <x:v>0</x:v>
      </x:c>
      <x:c r="K9" s="9" t="n">
        <x:v>143.36</x:v>
      </x:c>
      <x:c r="L9" s="9" t="n">
        <x:f>ROUND(H9*I9,2)</x:f>
        <x:v>1120</x:v>
      </x:c>
      <x:c r="M9" s="9" t="n">
        <x:f>L9-J9</x:f>
        <x:v>1120</x:v>
      </x:c>
      <x:c r="N9" s="4" t="n">
        <x:f>IF(COUNTIFS($B$7:B9,B9)=1,1,0)</x:f>
        <x:v>0</x:v>
      </x:c>
      <x:c r="O9" s="1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14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5" t="n">
        <x:v>1</x:v>
      </x:c>
      <x:c r="I10" s="9" t="n">
        <x:v>70</x:v>
      </x:c>
      <x:c r="J10" s="9" t="n">
        <x:v>7</x:v>
      </x:c>
      <x:c r="K10" s="9" t="n">
        <x:v>36.4</x:v>
      </x:c>
      <x:c r="L10" s="9" t="n">
        <x:f>ROUND(H10*I10,2)</x:f>
        <x:v>70</x:v>
      </x:c>
      <x:c r="M10" s="9" t="n">
        <x:f>L10-J10</x:f>
        <x:v>63</x:v>
      </x:c>
      <x:c r="N10" s="4" t="n">
        <x:f>IF(COUNTIFS($B$7:B10,B10)=1,1,0)</x:f>
        <x:v>1</x:v>
      </x:c>
      <x:c r="O10" s="1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14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5" t="n">
        <x:v>5</x:v>
      </x:c>
      <x:c r="I11" s="9" t="n">
        <x:v>4000</x:v>
      </x:c>
      <x:c r="J11" s="9" t="n">
        <x:v>3000</x:v>
      </x:c>
      <x:c r="K11" s="9" t="n">
        <x:v>3360</x:v>
      </x:c>
      <x:c r="L11" s="9" t="n">
        <x:f>ROUND(H11*I11,2)</x:f>
        <x:v>20000</x:v>
      </x:c>
      <x:c r="M11" s="9" t="n">
        <x:f>L11-J11</x:f>
        <x:v>17000</x:v>
      </x:c>
      <x:c r="N11" s="4" t="n">
        <x:f>IF(COUNTIFS($B$7:B11,B11)=1,1,0)</x:f>
        <x:v>0</x:v>
      </x:c>
      <x:c r="O11" s="1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14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5" t="n">
        <x:v>4</x:v>
      </x:c>
      <x:c r="I12" s="9" t="n">
        <x:v>120</x:v>
      </x:c>
      <x:c r="J12" s="9" t="n">
        <x:v>0</x:v>
      </x:c>
      <x:c r="K12" s="9" t="n">
        <x:v>62.4</x:v>
      </x:c>
      <x:c r="L12" s="9" t="n">
        <x:f>ROUND(H12*I12,2)</x:f>
        <x:v>480</x:v>
      </x:c>
      <x:c r="M12" s="9" t="n">
        <x:f>L12-J12</x:f>
        <x:v>480</x:v>
      </x:c>
      <x:c r="N12" s="4" t="n">
        <x:f>IF(COUNTIFS($B$7:B12,B12)=1,1,0)</x:f>
        <x:v>0</x:v>
      </x:c>
      <x:c r="O12" s="1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14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5" t="n">
        <x:v>1</x:v>
      </x:c>
      <x:c r="I13" s="9" t="n">
        <x:v>2000</x:v>
      </x:c>
      <x:c r="J13" s="9" t="n">
        <x:v>400</x:v>
      </x:c>
      <x:c r="K13" s="9" t="n">
        <x:v>1680</x:v>
      </x:c>
      <x:c r="L13" s="9" t="n">
        <x:f>ROUND(H13*I13,2)</x:f>
        <x:v>2000</x:v>
      </x:c>
      <x:c r="M13" s="9" t="n">
        <x:f>L13-J13</x:f>
        <x:v>1600</x:v>
      </x:c>
      <x:c r="N13" s="4" t="n">
        <x:f>IF(COUNTIFS($B$7:B13,B13)=1,1,0)</x:f>
        <x:v>1</x:v>
      </x:c>
      <x:c r="O13" s="1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14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5" t="n">
        <x:v>4</x:v>
      </x:c>
      <x:c r="I14" s="9" t="n">
        <x:v>140</x:v>
      </x:c>
      <x:c r="J14" s="9" t="n">
        <x:v>112</x:v>
      </x:c>
      <x:c r="K14" s="9" t="n">
        <x:v>72.8</x:v>
      </x:c>
      <x:c r="L14" s="9" t="n">
        <x:f>ROUND(H14*I14,2)</x:f>
        <x:v>560</x:v>
      </x:c>
      <x:c r="M14" s="9" t="n">
        <x:f>L14-J14</x:f>
        <x:v>448</x:v>
      </x:c>
      <x:c r="N14" s="4" t="n">
        <x:f>IF(COUNTIFS($B$7:B14,B14)=1,1,0)</x:f>
        <x:v>0</x:v>
      </x:c>
      <x:c r="O14" s="1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14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5" t="n">
        <x:v>4</x:v>
      </x:c>
      <x:c r="I15" s="9" t="n">
        <x:v>4000</x:v>
      </x:c>
      <x:c r="J15" s="9" t="n">
        <x:v>0</x:v>
      </x:c>
      <x:c r="K15" s="9" t="n">
        <x:v>3360</x:v>
      </x:c>
      <x:c r="L15" s="9" t="n">
        <x:f>ROUND(H15*I15,2)</x:f>
        <x:v>16000</x:v>
      </x:c>
      <x:c r="M15" s="9" t="n">
        <x:f>L15-J15</x:f>
        <x:v>16000</x:v>
      </x:c>
      <x:c r="N15" s="4" t="n">
        <x:f>IF(COUNTIFS($B$7:B15,B15)=1,1,0)</x:f>
        <x:v>0</x:v>
      </x:c>
      <x:c r="O15" s="1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14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5" t="n">
        <x:v>4</x:v>
      </x:c>
      <x:c r="I16" s="9" t="n">
        <x:v>252</x:v>
      </x:c>
      <x:c r="J16" s="9" t="n">
        <x:v>100.8</x:v>
      </x:c>
      <x:c r="K16" s="9" t="n">
        <x:v>151.2</x:v>
      </x:c>
      <x:c r="L16" s="9" t="n">
        <x:f>ROUND(H16*I16,2)</x:f>
        <x:v>1008</x:v>
      </x:c>
      <x:c r="M16" s="9" t="n">
        <x:f>L16-J16</x:f>
        <x:v>907.2</x:v>
      </x:c>
      <x:c r="N16" s="4" t="n">
        <x:f>IF(COUNTIFS($B$7:B16,B16)=1,1,0)</x:f>
        <x:v>1</x:v>
      </x:c>
      <x:c r="O16" s="1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14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5" t="n">
        <x:v>2</x:v>
      </x:c>
      <x:c r="I17" s="9" t="n">
        <x:v>60</x:v>
      </x:c>
      <x:c r="J17" s="9" t="n">
        <x:v>6</x:v>
      </x:c>
      <x:c r="K17" s="9" t="n">
        <x:v>31.2</x:v>
      </x:c>
      <x:c r="L17" s="9" t="n">
        <x:f>ROUND(H17*I17,2)</x:f>
        <x:v>120</x:v>
      </x:c>
      <x:c r="M17" s="9" t="n">
        <x:f>L17-J17</x:f>
        <x:v>114</x:v>
      </x:c>
      <x:c r="N17" s="4" t="n">
        <x:f>IF(COUNTIFS($B$7:B17,B17)=1,1,0)</x:f>
        <x:v>0</x:v>
      </x:c>
      <x:c r="O17" s="1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14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5" t="n">
        <x:v>5</x:v>
      </x:c>
      <x:c r="I18" s="9" t="n">
        <x:v>240</x:v>
      </x:c>
      <x:c r="J18" s="9" t="n">
        <x:v>240</x:v>
      </x:c>
      <x:c r="K18" s="9" t="n">
        <x:v>148.8</x:v>
      </x:c>
      <x:c r="L18" s="9" t="n">
        <x:f>ROUND(H18*I18,2)</x:f>
        <x:v>1200</x:v>
      </x:c>
      <x:c r="M18" s="9" t="n">
        <x:f>L18-J18</x:f>
        <x:v>960</x:v>
      </x:c>
      <x:c r="N18" s="4" t="n">
        <x:f>IF(COUNTIFS($B$7:B18,B18)=1,1,0)</x:f>
        <x:v>0</x:v>
      </x:c>
      <x:c r="O18" s="1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14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5" t="n">
        <x:v>4</x:v>
      </x:c>
      <x:c r="I19" s="9" t="n">
        <x:v>2250</x:v>
      </x:c>
      <x:c r="J19" s="9" t="n">
        <x:v>0</x:v>
      </x:c>
      <x:c r="K19" s="9" t="n">
        <x:v>1890</x:v>
      </x:c>
      <x:c r="L19" s="9" t="n">
        <x:f>ROUND(H19*I19,2)</x:f>
        <x:v>9000</x:v>
      </x:c>
      <x:c r="M19" s="9" t="n">
        <x:f>L19-J19</x:f>
        <x:v>9000</x:v>
      </x:c>
      <x:c r="N19" s="4" t="n">
        <x:f>IF(COUNTIFS($B$7:B19,B19)=1,1,0)</x:f>
        <x:v>1</x:v>
      </x:c>
      <x:c r="O19" s="1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14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5" t="n">
        <x:v>3</x:v>
      </x:c>
      <x:c r="I20" s="9" t="n">
        <x:v>90</x:v>
      </x:c>
      <x:c r="J20" s="9" t="n">
        <x:v>54</x:v>
      </x:c>
      <x:c r="K20" s="9" t="n">
        <x:v>46.8</x:v>
      </x:c>
      <x:c r="L20" s="9" t="n">
        <x:f>ROUND(H20*I20,2)</x:f>
        <x:v>270</x:v>
      </x:c>
      <x:c r="M20" s="9" t="n">
        <x:f>L20-J20</x:f>
        <x:v>216</x:v>
      </x:c>
      <x:c r="N20" s="4" t="n">
        <x:f>IF(COUNTIFS($B$7:B20,B20)=1,1,0)</x:f>
        <x:v>0</x:v>
      </x:c>
      <x:c r="O20" s="1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14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5" t="n">
        <x:v>3</x:v>
      </x:c>
      <x:c r="I21" s="9" t="n">
        <x:v>396</x:v>
      </x:c>
      <x:c r="J21" s="9" t="n">
        <x:v>237.6</x:v>
      </x:c>
      <x:c r="K21" s="9" t="n">
        <x:v>237.6</x:v>
      </x:c>
      <x:c r="L21" s="9" t="n">
        <x:f>ROUND(H21*I21,2)</x:f>
        <x:v>1188</x:v>
      </x:c>
      <x:c r="M21" s="9" t="n">
        <x:f>L21-J21</x:f>
        <x:v>950.4</x:v>
      </x:c>
      <x:c r="N21" s="4" t="n">
        <x:f>IF(COUNTIFS($B$7:B21,B21)=1,1,0)</x:f>
        <x:v>0</x:v>
      </x:c>
      <x:c r="O21" s="1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14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5" t="n">
        <x:v>4</x:v>
      </x:c>
      <x:c r="I22" s="9" t="n">
        <x:v>1750</x:v>
      </x:c>
      <x:c r="J22" s="9" t="n">
        <x:v>700</x:v>
      </x:c>
      <x:c r="K22" s="9" t="n">
        <x:v>1470</x:v>
      </x:c>
      <x:c r="L22" s="9" t="n">
        <x:f>ROUND(H22*I22,2)</x:f>
        <x:v>7000</x:v>
      </x:c>
      <x:c r="M22" s="9" t="n">
        <x:f>L22-J22</x:f>
        <x:v>6300</x:v>
      </x:c>
      <x:c r="N22" s="4" t="n">
        <x:f>IF(COUNTIFS($B$7:B22,B22)=1,1,0)</x:f>
        <x:v>1</x:v>
      </x:c>
      <x:c r="O22" s="1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14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5" t="n">
        <x:v>3</x:v>
      </x:c>
      <x:c r="I23" s="9" t="n">
        <x:v>50</x:v>
      </x:c>
      <x:c r="J23" s="9" t="n">
        <x:v>15</x:v>
      </x:c>
      <x:c r="K23" s="9" t="n">
        <x:v>26</x:v>
      </x:c>
      <x:c r="L23" s="9" t="n">
        <x:f>ROUND(H23*I23,2)</x:f>
        <x:v>150</x:v>
      </x:c>
      <x:c r="M23" s="9" t="n">
        <x:f>L23-J23</x:f>
        <x:v>135</x:v>
      </x:c>
      <x:c r="N23" s="4" t="n">
        <x:f>IF(COUNTIFS($B$7:B23,B23)=1,1,0)</x:f>
        <x:v>0</x:v>
      </x:c>
      <x:c r="O23" s="1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14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5" t="n">
        <x:v>3</x:v>
      </x:c>
      <x:c r="I24" s="9" t="n">
        <x:v>80</x:v>
      </x:c>
      <x:c r="J24" s="9" t="n">
        <x:v>0</x:v>
      </x:c>
      <x:c r="K24" s="9" t="n">
        <x:v>41.6</x:v>
      </x:c>
      <x:c r="L24" s="9" t="n">
        <x:f>ROUND(H24*I24,2)</x:f>
        <x:v>240</x:v>
      </x:c>
      <x:c r="M24" s="9" t="n">
        <x:f>L24-J24</x:f>
        <x:v>240</x:v>
      </x:c>
      <x:c r="N24" s="4" t="n">
        <x:f>IF(COUNTIFS($B$7:B24,B24)=1,1,0)</x:f>
        <x:v>0</x:v>
      </x:c>
      <x:c r="O24" s="1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14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5" t="n">
        <x:v>3</x:v>
      </x:c>
      <x:c r="I25" s="9" t="n">
        <x:v>420</x:v>
      </x:c>
      <x:c r="J25" s="9" t="n">
        <x:v>0</x:v>
      </x:c>
      <x:c r="K25" s="9" t="n">
        <x:v>268.8</x:v>
      </x:c>
      <x:c r="L25" s="9" t="n">
        <x:f>ROUND(H25*I25,2)</x:f>
        <x:v>1260</x:v>
      </x:c>
      <x:c r="M25" s="9" t="n">
        <x:f>L25-J25</x:f>
        <x:v>1260</x:v>
      </x:c>
      <x:c r="N25" s="4" t="n">
        <x:f>IF(COUNTIFS($B$7:B25,B25)=1,1,0)</x:f>
        <x:v>1</x:v>
      </x:c>
      <x:c r="O25" s="1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14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5" t="n">
        <x:v>2</x:v>
      </x:c>
      <x:c r="I26" s="9" t="n">
        <x:v>90</x:v>
      </x:c>
      <x:c r="J26" s="9" t="n">
        <x:v>36</x:v>
      </x:c>
      <x:c r="K26" s="9" t="n">
        <x:v>46.8</x:v>
      </x:c>
      <x:c r="L26" s="9" t="n">
        <x:f>ROUND(H26*I26,2)</x:f>
        <x:v>180</x:v>
      </x:c>
      <x:c r="M26" s="9" t="n">
        <x:f>L26-J26</x:f>
        <x:v>144</x:v>
      </x:c>
      <x:c r="N26" s="4" t="n">
        <x:f>IF(COUNTIFS($B$7:B26,B26)=1,1,0)</x:f>
        <x:v>0</x:v>
      </x:c>
      <x:c r="O26" s="1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14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5" t="n">
        <x:v>4</x:v>
      </x:c>
      <x:c r="I27" s="9" t="n">
        <x:v>120</x:v>
      </x:c>
      <x:c r="J27" s="9" t="n">
        <x:v>24</x:v>
      </x:c>
      <x:c r="K27" s="9" t="n">
        <x:v>74.4</x:v>
      </x:c>
      <x:c r="L27" s="9" t="n">
        <x:f>ROUND(H27*I27,2)</x:f>
        <x:v>480</x:v>
      </x:c>
      <x:c r="M27" s="9" t="n">
        <x:f>L27-J27</x:f>
        <x:v>456</x:v>
      </x:c>
      <x:c r="N27" s="4" t="n">
        <x:f>IF(COUNTIFS($B$7:B27,B27)=1,1,0)</x:f>
        <x:v>1</x:v>
      </x:c>
      <x:c r="O27" s="1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14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5" t="n">
        <x:v>2</x:v>
      </x:c>
      <x:c r="I28" s="9" t="n">
        <x:v>2500</x:v>
      </x:c>
      <x:c r="J28" s="9" t="n">
        <x:v>1000</x:v>
      </x:c>
      <x:c r="K28" s="9" t="n">
        <x:v>2100</x:v>
      </x:c>
      <x:c r="L28" s="9" t="n">
        <x:f>ROUND(H28*I28,2)</x:f>
        <x:v>5000</x:v>
      </x:c>
      <x:c r="M28" s="9" t="n">
        <x:f>L28-J28</x:f>
        <x:v>4000</x:v>
      </x:c>
      <x:c r="N28" s="4" t="n">
        <x:f>IF(COUNTIFS($B$7:B28,B28)=1,1,0)</x:f>
        <x:v>0</x:v>
      </x:c>
      <x:c r="O28" s="1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14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5" t="n">
        <x:v>3</x:v>
      </x:c>
      <x:c r="I29" s="9" t="n">
        <x:v>196</x:v>
      </x:c>
      <x:c r="J29" s="9" t="n">
        <x:v>29.4</x:v>
      </x:c>
      <x:c r="K29" s="9" t="n">
        <x:v>125.44</x:v>
      </x:c>
      <x:c r="L29" s="9" t="n">
        <x:f>ROUND(H29*I29,2)</x:f>
        <x:v>588</x:v>
      </x:c>
      <x:c r="M29" s="9" t="n">
        <x:f>L29-J29</x:f>
        <x:v>558.6</x:v>
      </x:c>
      <x:c r="N29" s="4" t="n">
        <x:f>IF(COUNTIFS($B$7:B29,B29)=1,1,0)</x:f>
        <x:v>1</x:v>
      </x:c>
      <x:c r="O29" s="1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14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5" t="n">
        <x:v>4</x:v>
      </x:c>
      <x:c r="I30" s="9" t="n">
        <x:v>180</x:v>
      </x:c>
      <x:c r="J30" s="9" t="n">
        <x:v>0</x:v>
      </x:c>
      <x:c r="K30" s="9" t="n">
        <x:v>108</x:v>
      </x:c>
      <x:c r="L30" s="9" t="n">
        <x:f>ROUND(H30*I30,2)</x:f>
        <x:v>720</x:v>
      </x:c>
      <x:c r="M30" s="9" t="n">
        <x:f>L30-J30</x:f>
        <x:v>720</x:v>
      </x:c>
      <x:c r="N30" s="4" t="n">
        <x:f>IF(COUNTIFS($B$7:B30,B30)=1,1,0)</x:f>
        <x:v>0</x:v>
      </x:c>
      <x:c r="O30" s="1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14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5" t="n">
        <x:v>3</x:v>
      </x:c>
      <x:c r="I31" s="9" t="n">
        <x:v>3750</x:v>
      </x:c>
      <x:c r="J31" s="9" t="n">
        <x:v>1125</x:v>
      </x:c>
      <x:c r="K31" s="9" t="n">
        <x:v>3150</x:v>
      </x:c>
      <x:c r="L31" s="9" t="n">
        <x:f>ROUND(H31*I31,2)</x:f>
        <x:v>11250</x:v>
      </x:c>
      <x:c r="M31" s="9" t="n">
        <x:f>L31-J31</x:f>
        <x:v>10125</x:v>
      </x:c>
      <x:c r="N31" s="4" t="n">
        <x:f>IF(COUNTIFS($B$7:B31,B31)=1,1,0)</x:f>
        <x:v>0</x:v>
      </x:c>
      <x:c r="O31" s="1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14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5" t="n">
        <x:v>2</x:v>
      </x:c>
      <x:c r="I32" s="9" t="n">
        <x:v>216</x:v>
      </x:c>
      <x:c r="J32" s="9" t="n">
        <x:v>21.6</x:v>
      </x:c>
      <x:c r="K32" s="9" t="n">
        <x:v>129.6</x:v>
      </x:c>
      <x:c r="L32" s="9" t="n">
        <x:f>ROUND(H32*I32,2)</x:f>
        <x:v>432</x:v>
      </x:c>
      <x:c r="M32" s="9" t="n">
        <x:f>L32-J32</x:f>
        <x:v>410.4</x:v>
      </x:c>
      <x:c r="N32" s="4" t="n">
        <x:f>IF(COUNTIFS($B$7:B32,B32)=1,1,0)</x:f>
        <x:v>1</x:v>
      </x:c>
      <x:c r="O32" s="1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14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5" t="n">
        <x:v>5</x:v>
      </x:c>
      <x:c r="I33" s="9" t="n">
        <x:v>100</x:v>
      </x:c>
      <x:c r="J33" s="9" t="n">
        <x:v>0</x:v>
      </x:c>
      <x:c r="K33" s="9" t="n">
        <x:v>52</x:v>
      </x:c>
      <x:c r="L33" s="9" t="n">
        <x:f>ROUND(H33*I33,2)</x:f>
        <x:v>500</x:v>
      </x:c>
      <x:c r="M33" s="9" t="n">
        <x:f>L33-J33</x:f>
        <x:v>500</x:v>
      </x:c>
      <x:c r="N33" s="4" t="n">
        <x:f>IF(COUNTIFS($B$7:B33,B33)=1,1,0)</x:f>
        <x:v>0</x:v>
      </x:c>
      <x:c r="O33" s="1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14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5" t="n">
        <x:v>1</x:v>
      </x:c>
      <x:c r="I34" s="9" t="n">
        <x:v>196</x:v>
      </x:c>
      <x:c r="J34" s="9" t="n">
        <x:v>39.2</x:v>
      </x:c>
      <x:c r="K34" s="9" t="n">
        <x:v>125.44</x:v>
      </x:c>
      <x:c r="L34" s="9" t="n">
        <x:f>ROUND(H34*I34,2)</x:f>
        <x:v>196</x:v>
      </x:c>
      <x:c r="M34" s="9" t="n">
        <x:f>L34-J34</x:f>
        <x:v>156.8</x:v>
      </x:c>
      <x:c r="N34" s="4" t="n">
        <x:f>IF(COUNTIFS($B$7:B34,B34)=1,1,0)</x:f>
        <x:v>0</x:v>
      </x:c>
      <x:c r="O34" s="1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14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5" t="n">
        <x:v>1</x:v>
      </x:c>
      <x:c r="I35" s="9" t="n">
        <x:v>384</x:v>
      </x:c>
      <x:c r="J35" s="9" t="n">
        <x:v>38.4</x:v>
      </x:c>
      <x:c r="K35" s="9" t="n">
        <x:v>238.08</x:v>
      </x:c>
      <x:c r="L35" s="9" t="n">
        <x:f>ROUND(H35*I35,2)</x:f>
        <x:v>384</x:v>
      </x:c>
      <x:c r="M35" s="9" t="n">
        <x:f>L35-J35</x:f>
        <x:v>345.6</x:v>
      </x:c>
      <x:c r="N35" s="4" t="n">
        <x:f>IF(COUNTIFS($B$7:B35,B35)=1,1,0)</x:f>
        <x:v>1</x:v>
      </x:c>
      <x:c r="O35" s="1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14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5" t="n">
        <x:v>2</x:v>
      </x:c>
      <x:c r="I36" s="9" t="n">
        <x:v>280</x:v>
      </x:c>
      <x:c r="J36" s="9" t="n">
        <x:v>84</x:v>
      </x:c>
      <x:c r="K36" s="9" t="n">
        <x:v>179.2</x:v>
      </x:c>
      <x:c r="L36" s="9" t="n">
        <x:f>ROUND(H36*I36,2)</x:f>
        <x:v>560</x:v>
      </x:c>
      <x:c r="M36" s="9" t="n">
        <x:f>L36-J36</x:f>
        <x:v>476</x:v>
      </x:c>
      <x:c r="N36" s="4" t="n">
        <x:f>IF(COUNTIFS($B$7:B36,B36)=1,1,0)</x:f>
        <x:v>0</x:v>
      </x:c>
    </x:row>
    <x:row r="37" ht="22" customHeight="1">
      <x:c r="A37" s="4" t="str">
        <x:v>L2025-004848</x:v>
      </x:c>
      <x:c r="B37" s="4" t="str">
        <x:v>O2025-01940</x:v>
      </x:c>
      <x:c r="C37" s="14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5" t="n">
        <x:v>1</x:v>
      </x:c>
      <x:c r="I37" s="9" t="n">
        <x:v>360</x:v>
      </x:c>
      <x:c r="J37" s="9" t="n">
        <x:v>36</x:v>
      </x:c>
      <x:c r="K37" s="9" t="n">
        <x:v>216</x:v>
      </x:c>
      <x:c r="L37" s="9" t="n">
        <x:f>ROUND(H37*I37,2)</x:f>
        <x:v>360</x:v>
      </x:c>
      <x:c r="M37" s="9" t="n">
        <x:f>L37-J37</x:f>
        <x:v>324</x:v>
      </x:c>
      <x:c r="N37" s="4" t="n">
        <x:f>IF(COUNTIFS($B$7:B37,B37)=1,1,0)</x:f>
        <x:v>1</x:v>
      </x:c>
    </x:row>
    <x:row r="38" ht="22" customHeight="1">
      <x:c r="A38" s="4" t="str">
        <x:v>L2025-004849</x:v>
      </x:c>
      <x:c r="B38" s="4" t="str">
        <x:v>O2025-01940</x:v>
      </x:c>
      <x:c r="C38" s="14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5" t="n">
        <x:v>5</x:v>
      </x:c>
      <x:c r="I38" s="9" t="n">
        <x:v>110</x:v>
      </x:c>
      <x:c r="J38" s="9" t="n">
        <x:v>27.5</x:v>
      </x:c>
      <x:c r="K38" s="9" t="n">
        <x:v>57.2</x:v>
      </x:c>
      <x:c r="L38" s="9" t="n">
        <x:f>ROUND(H38*I38,2)</x:f>
        <x:v>550</x:v>
      </x:c>
      <x:c r="M38" s="9" t="n">
        <x:f>L38-J38</x:f>
        <x:v>522.5</x:v>
      </x:c>
      <x:c r="N38" s="4" t="n">
        <x:f>IF(COUNTIFS($B$7:B38,B38)=1,1,0)</x:f>
        <x:v>0</x:v>
      </x:c>
    </x:row>
    <x:row r="39" ht="22" customHeight="1">
      <x:c r="A39" s="4" t="str">
        <x:v>L2025-004850</x:v>
      </x:c>
      <x:c r="B39" s="4" t="str">
        <x:v>O2025-01940</x:v>
      </x:c>
      <x:c r="C39" s="14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5" t="n">
        <x:v>4</x:v>
      </x:c>
      <x:c r="I39" s="9" t="n">
        <x:v>252</x:v>
      </x:c>
      <x:c r="J39" s="9" t="n">
        <x:v>100.8</x:v>
      </x:c>
      <x:c r="K39" s="9" t="n">
        <x:v>161.28</x:v>
      </x:c>
      <x:c r="L39" s="9" t="n">
        <x:f>ROUND(H39*I39,2)</x:f>
        <x:v>1008</x:v>
      </x:c>
      <x:c r="M39" s="9" t="n">
        <x:f>L39-J39</x:f>
        <x:v>907.2</x:v>
      </x:c>
      <x:c r="N39" s="4" t="n">
        <x:f>IF(COUNTIFS($B$7:B39,B39)=1,1,0)</x:f>
        <x:v>0</x:v>
      </x:c>
    </x:row>
    <x:row r="40" ht="22" customHeight="1">
      <x:c r="A40" s="4" t="str">
        <x:v>L2025-004851</x:v>
      </x:c>
      <x:c r="B40" s="4" t="str">
        <x:v>O2025-01941</x:v>
      </x:c>
      <x:c r="C40" s="14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5" t="n">
        <x:v>4</x:v>
      </x:c>
      <x:c r="I40" s="9" t="n">
        <x:v>1750</x:v>
      </x:c>
      <x:c r="J40" s="9" t="n">
        <x:v>350</x:v>
      </x:c>
      <x:c r="K40" s="9" t="n">
        <x:v>1470</x:v>
      </x:c>
      <x:c r="L40" s="9" t="n">
        <x:f>ROUND(H40*I40,2)</x:f>
        <x:v>7000</x:v>
      </x:c>
      <x:c r="M40" s="9" t="n">
        <x:f>L40-J40</x:f>
        <x:v>6650</x:v>
      </x:c>
      <x:c r="N40" s="4" t="n">
        <x:f>IF(COUNTIFS($B$7:B40,B40)=1,1,0)</x:f>
        <x:v>1</x:v>
      </x:c>
    </x:row>
    <x:row r="41" ht="22" customHeight="1">
      <x:c r="A41" s="4" t="str">
        <x:v>L2025-004852</x:v>
      </x:c>
      <x:c r="B41" s="4" t="str">
        <x:v>O2025-01941</x:v>
      </x:c>
      <x:c r="C41" s="14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5" t="n">
        <x:v>3</x:v>
      </x:c>
      <x:c r="I41" s="9" t="n">
        <x:v>144</x:v>
      </x:c>
      <x:c r="J41" s="9" t="n">
        <x:v>21.6</x:v>
      </x:c>
      <x:c r="K41" s="9" t="n">
        <x:v>89.28</x:v>
      </x:c>
      <x:c r="L41" s="9" t="n">
        <x:f>ROUND(H41*I41,2)</x:f>
        <x:v>432</x:v>
      </x:c>
      <x:c r="M41" s="9" t="n">
        <x:f>L41-J41</x:f>
        <x:v>410.4</x:v>
      </x:c>
      <x:c r="N41" s="4" t="n">
        <x:f>IF(COUNTIFS($B$7:B41,B41)=1,1,0)</x:f>
        <x:v>0</x:v>
      </x:c>
    </x:row>
    <x:row r="42" ht="22" customHeight="1">
      <x:c r="A42" s="4" t="str">
        <x:v>L2025-005358</x:v>
      </x:c>
      <x:c r="B42" s="4" t="str">
        <x:v>O2025-02144</x:v>
      </x:c>
      <x:c r="C42" s="14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5" t="n">
        <x:v>2</x:v>
      </x:c>
      <x:c r="I42" s="9" t="n">
        <x:v>2250</x:v>
      </x:c>
      <x:c r="J42" s="9" t="n">
        <x:v>900</x:v>
      </x:c>
      <x:c r="K42" s="9" t="n">
        <x:v>1890</x:v>
      </x:c>
      <x:c r="L42" s="9" t="n">
        <x:f>ROUND(H42*I42,2)</x:f>
        <x:v>4500</x:v>
      </x:c>
      <x:c r="M42" s="9" t="n">
        <x:f>L42-J42</x:f>
        <x:v>3600</x:v>
      </x:c>
      <x:c r="N42" s="4" t="n">
        <x:f>IF(COUNTIFS($B$7:B42,B42)=1,1,0)</x:f>
        <x:v>1</x:v>
      </x:c>
    </x:row>
    <x:row r="43" ht="22" customHeight="1">
      <x:c r="A43" s="4" t="str">
        <x:v>L2025-005359</x:v>
      </x:c>
      <x:c r="B43" s="4" t="str">
        <x:v>O2025-02144</x:v>
      </x:c>
      <x:c r="C43" s="14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5" t="n">
        <x:v>2</x:v>
      </x:c>
      <x:c r="I43" s="9" t="n">
        <x:v>224</x:v>
      </x:c>
      <x:c r="J43" s="9" t="n">
        <x:v>0</x:v>
      </x:c>
      <x:c r="K43" s="9" t="n">
        <x:v>143.36</x:v>
      </x:c>
      <x:c r="L43" s="9" t="n">
        <x:f>ROUND(H43*I43,2)</x:f>
        <x:v>448</x:v>
      </x:c>
      <x:c r="M43" s="9" t="n">
        <x:f>L43-J43</x:f>
        <x:v>448</x:v>
      </x:c>
      <x:c r="N43" s="4" t="n">
        <x:f>IF(COUNTIFS($B$7:B43,B43)=1,1,0)</x:f>
        <x:v>0</x:v>
      </x:c>
    </x:row>
    <x:row r="44" ht="22" customHeight="1">
      <x:c r="A44" s="4" t="str">
        <x:v>L2025-005360</x:v>
      </x:c>
      <x:c r="B44" s="4" t="str">
        <x:v>O2025-02144</x:v>
      </x:c>
      <x:c r="C44" s="14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5" t="n">
        <x:v>1</x:v>
      </x:c>
      <x:c r="I44" s="9" t="n">
        <x:v>396</x:v>
      </x:c>
      <x:c r="J44" s="9" t="n">
        <x:v>39.6</x:v>
      </x:c>
      <x:c r="K44" s="9" t="n">
        <x:v>237.6</x:v>
      </x:c>
      <x:c r="L44" s="9" t="n">
        <x:f>ROUND(H44*I44,2)</x:f>
        <x:v>396</x:v>
      </x:c>
      <x:c r="M44" s="9" t="n">
        <x:f>L44-J44</x:f>
        <x:v>356.4</x:v>
      </x:c>
      <x:c r="N44" s="4" t="n">
        <x:f>IF(COUNTIFS($B$7:B44,B44)=1,1,0)</x:f>
        <x:v>0</x:v>
      </x:c>
    </x:row>
    <x:row r="45" ht="22" customHeight="1">
      <x:c r="A45" s="4" t="str">
        <x:v>L2025-005868</x:v>
      </x:c>
      <x:c r="B45" s="4" t="str">
        <x:v>O2025-02348</x:v>
      </x:c>
      <x:c r="C45" s="14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5" t="n">
        <x:v>4</x:v>
      </x:c>
      <x:c r="I45" s="9" t="n">
        <x:v>336</x:v>
      </x:c>
      <x:c r="J45" s="9" t="n">
        <x:v>134.4</x:v>
      </x:c>
      <x:c r="K45" s="9" t="n">
        <x:v>215.04</x:v>
      </x:c>
      <x:c r="L45" s="9" t="n">
        <x:f>ROUND(H45*I45,2)</x:f>
        <x:v>1344</x:v>
      </x:c>
      <x:c r="M45" s="9" t="n">
        <x:f>L45-J45</x:f>
        <x:v>1209.6</x:v>
      </x:c>
      <x:c r="N45" s="4" t="n">
        <x:f>IF(COUNTIFS($B$7:B45,B45)=1,1,0)</x:f>
        <x:v>1</x:v>
      </x:c>
    </x:row>
    <x:row r="46" ht="22" customHeight="1">
      <x:c r="A46" s="4" t="str">
        <x:v>L2025-005869</x:v>
      </x:c>
      <x:c r="B46" s="4" t="str">
        <x:v>O2025-02348</x:v>
      </x:c>
      <x:c r="C46" s="14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5" t="n">
        <x:v>4</x:v>
      </x:c>
      <x:c r="I46" s="9" t="n">
        <x:v>288</x:v>
      </x:c>
      <x:c r="J46" s="9" t="n">
        <x:v>0</x:v>
      </x:c>
      <x:c r="K46" s="9" t="n">
        <x:v>178.56</x:v>
      </x:c>
      <x:c r="L46" s="9" t="n">
        <x:f>ROUND(H46*I46,2)</x:f>
        <x:v>1152</x:v>
      </x:c>
      <x:c r="M46" s="9" t="n">
        <x:f>L46-J46</x:f>
        <x:v>1152</x:v>
      </x:c>
      <x:c r="N46" s="4" t="n">
        <x:f>IF(COUNTIFS($B$7:B46,B46)=1,1,0)</x:f>
        <x:v>0</x:v>
      </x:c>
    </x:row>
    <x:row r="47" ht="22" customHeight="1">
      <x:c r="A47" s="4" t="str">
        <x:v>L2025-005870</x:v>
      </x:c>
      <x:c r="B47" s="4" t="str">
        <x:v>O2025-02348</x:v>
      </x:c>
      <x:c r="C47" s="14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5" t="n">
        <x:v>4</x:v>
      </x:c>
      <x:c r="I47" s="9" t="n">
        <x:v>308</x:v>
      </x:c>
      <x:c r="J47" s="9" t="n">
        <x:v>184.8</x:v>
      </x:c>
      <x:c r="K47" s="9" t="n">
        <x:v>197.12</x:v>
      </x:c>
      <x:c r="L47" s="9" t="n">
        <x:f>ROUND(H47*I47,2)</x:f>
        <x:v>1232</x:v>
      </x:c>
      <x:c r="M47" s="9" t="n">
        <x:f>L47-J47</x:f>
        <x:v>1047.2</x:v>
      </x:c>
      <x:c r="N47" s="4" t="n">
        <x:f>IF(COUNTIFS($B$7:B47,B47)=1,1,0)</x:f>
        <x:v>0</x:v>
      </x:c>
    </x:row>
    <x:row r="48" ht="22" customHeight="1">
      <x:c r="A48" s="4" t="str">
        <x:v>L2025-006376</x:v>
      </x:c>
      <x:c r="B48" s="4" t="str">
        <x:v>O2025-02551</x:v>
      </x:c>
      <x:c r="C48" s="14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5" t="n">
        <x:v>1</x:v>
      </x:c>
      <x:c r="I48" s="9" t="n">
        <x:v>2750</x:v>
      </x:c>
      <x:c r="J48" s="9" t="n">
        <x:v>412.5</x:v>
      </x:c>
      <x:c r="K48" s="9" t="n">
        <x:v>2310</x:v>
      </x:c>
      <x:c r="L48" s="9" t="n">
        <x:f>ROUND(H48*I48,2)</x:f>
        <x:v>2750</x:v>
      </x:c>
      <x:c r="M48" s="9" t="n">
        <x:f>L48-J48</x:f>
        <x:v>2337.5</x:v>
      </x:c>
      <x:c r="N48" s="4" t="n">
        <x:f>IF(COUNTIFS($B$7:B48,B48)=1,1,0)</x:f>
        <x:v>1</x:v>
      </x:c>
    </x:row>
    <x:row r="49" ht="22" customHeight="1">
      <x:c r="A49" s="4" t="str">
        <x:v>L2025-006377</x:v>
      </x:c>
      <x:c r="B49" s="4" t="str">
        <x:v>O2025-02551</x:v>
      </x:c>
      <x:c r="C49" s="14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5" t="n">
        <x:v>3</x:v>
      </x:c>
      <x:c r="I49" s="9" t="n">
        <x:v>392</x:v>
      </x:c>
      <x:c r="J49" s="9" t="n">
        <x:v>235.2</x:v>
      </x:c>
      <x:c r="K49" s="9" t="n">
        <x:v>250.88</x:v>
      </x:c>
      <x:c r="L49" s="9" t="n">
        <x:f>ROUND(H49*I49,2)</x:f>
        <x:v>1176</x:v>
      </x:c>
      <x:c r="M49" s="9" t="n">
        <x:f>L49-J49</x:f>
        <x:v>940.8</x:v>
      </x:c>
      <x:c r="N49" s="4" t="n">
        <x:f>IF(COUNTIFS($B$7:B49,B49)=1,1,0)</x:f>
        <x:v>0</x:v>
      </x:c>
    </x:row>
    <x:row r="50" ht="22" customHeight="1">
      <x:c r="A50" s="4" t="str">
        <x:v>L2025-006886</x:v>
      </x:c>
      <x:c r="B50" s="4" t="str">
        <x:v>O2025-02755</x:v>
      </x:c>
      <x:c r="C50" s="14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5" t="n">
        <x:v>5</x:v>
      </x:c>
      <x:c r="I50" s="9" t="n">
        <x:v>324</x:v>
      </x:c>
      <x:c r="J50" s="9" t="n">
        <x:v>81</x:v>
      </x:c>
      <x:c r="K50" s="9" t="n">
        <x:v>194.4</x:v>
      </x:c>
      <x:c r="L50" s="9" t="n">
        <x:f>ROUND(H50*I50,2)</x:f>
        <x:v>1620</x:v>
      </x:c>
      <x:c r="M50" s="9" t="n">
        <x:f>L50-J50</x:f>
        <x:v>1539</x:v>
      </x:c>
      <x:c r="N50" s="4" t="n">
        <x:f>IF(COUNTIFS($B$7:B50,B50)=1,1,0)</x:f>
        <x:v>1</x:v>
      </x:c>
    </x:row>
    <x:row r="51" ht="22" customHeight="1">
      <x:c r="A51" s="4" t="str">
        <x:v>L2025-006887</x:v>
      </x:c>
      <x:c r="B51" s="4" t="str">
        <x:v>O2025-02755</x:v>
      </x:c>
      <x:c r="C51" s="14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5" t="n">
        <x:v>1</x:v>
      </x:c>
      <x:c r="I51" s="9" t="n">
        <x:v>336</x:v>
      </x:c>
      <x:c r="J51" s="9" t="n">
        <x:v>16.8</x:v>
      </x:c>
      <x:c r="K51" s="9" t="n">
        <x:v>208.32</x:v>
      </x:c>
      <x:c r="L51" s="9" t="n">
        <x:f>ROUND(H51*I51,2)</x:f>
        <x:v>336</x:v>
      </x:c>
      <x:c r="M51" s="9" t="n">
        <x:f>L51-J51</x:f>
        <x:v>319.2</x:v>
      </x:c>
      <x:c r="N51" s="4" t="n">
        <x:f>IF(COUNTIFS($B$7:B51,B51)=1,1,0)</x:f>
        <x:v>0</x:v>
      </x:c>
    </x:row>
    <x:row r="52" ht="22" customHeight="1">
      <x:c r="A52" s="4" t="str">
        <x:v>L2025-007396</x:v>
      </x:c>
      <x:c r="B52" s="4" t="str">
        <x:v>O2025-02959</x:v>
      </x:c>
      <x:c r="C52" s="14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5" t="n">
        <x:v>3</x:v>
      </x:c>
      <x:c r="I52" s="9" t="n">
        <x:v>80</x:v>
      </x:c>
      <x:c r="J52" s="9" t="n">
        <x:v>24</x:v>
      </x:c>
      <x:c r="K52" s="9" t="n">
        <x:v>41.6</x:v>
      </x:c>
      <x:c r="L52" s="9" t="n">
        <x:f>ROUND(H52*I52,2)</x:f>
        <x:v>240</x:v>
      </x:c>
      <x:c r="M52" s="9" t="n">
        <x:f>L52-J52</x:f>
        <x:v>216</x:v>
      </x:c>
      <x:c r="N52" s="4" t="n">
        <x:f>IF(COUNTIFS($B$7:B52,B52)=1,1,0)</x:f>
        <x:v>1</x:v>
      </x:c>
    </x:row>
    <x:row r="53" ht="22" customHeight="1">
      <x:c r="A53" s="4" t="str">
        <x:v>L2025-007397</x:v>
      </x:c>
      <x:c r="B53" s="4" t="str">
        <x:v>O2025-02959</x:v>
      </x:c>
      <x:c r="C53" s="14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5" t="n">
        <x:v>5</x:v>
      </x:c>
      <x:c r="I53" s="9" t="n">
        <x:v>2750</x:v>
      </x:c>
      <x:c r="J53" s="9" t="n">
        <x:v>1375</x:v>
      </x:c>
      <x:c r="K53" s="9" t="n">
        <x:v>2310</x:v>
      </x:c>
      <x:c r="L53" s="9" t="n">
        <x:f>ROUND(H53*I53,2)</x:f>
        <x:v>13750</x:v>
      </x:c>
      <x:c r="M53" s="9" t="n">
        <x:f>L53-J53</x:f>
        <x:v>12375</x:v>
      </x:c>
      <x:c r="N53" s="4" t="n">
        <x:f>IF(COUNTIFS($B$7:B53,B53)=1,1,0)</x:f>
        <x:v>0</x:v>
      </x:c>
    </x:row>
    <x:row r="54" ht="22" customHeight="1">
      <x:c r="A54" s="4" t="str">
        <x:v>L2025-007398</x:v>
      </x:c>
      <x:c r="B54" s="4" t="str">
        <x:v>O2025-02960</x:v>
      </x:c>
      <x:c r="C54" s="14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5" t="n">
        <x:v>4</x:v>
      </x:c>
      <x:c r="I54" s="9" t="n">
        <x:v>308</x:v>
      </x:c>
      <x:c r="J54" s="9" t="n">
        <x:v>184.8</x:v>
      </x:c>
      <x:c r="K54" s="9" t="n">
        <x:v>197.12</x:v>
      </x:c>
      <x:c r="L54" s="9" t="n">
        <x:f>ROUND(H54*I54,2)</x:f>
        <x:v>1232</x:v>
      </x:c>
      <x:c r="M54" s="9" t="n">
        <x:f>L54-J54</x:f>
        <x:v>1047.2</x:v>
      </x:c>
      <x:c r="N54" s="4" t="n">
        <x:f>IF(COUNTIFS($B$7:B54,B54)=1,1,0)</x:f>
        <x:v>1</x:v>
      </x:c>
    </x:row>
    <x:row r="55" ht="22" customHeight="1">
      <x:c r="A55" s="4" t="str">
        <x:v>L2025-007399</x:v>
      </x:c>
      <x:c r="B55" s="4" t="str">
        <x:v>O2025-02960</x:v>
      </x:c>
      <x:c r="C55" s="14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5" t="n">
        <x:v>4</x:v>
      </x:c>
      <x:c r="I55" s="9" t="n">
        <x:v>308</x:v>
      </x:c>
      <x:c r="J55" s="9" t="n">
        <x:v>246.4</x:v>
      </x:c>
      <x:c r="K55" s="9" t="n">
        <x:v>197.12</x:v>
      </x:c>
      <x:c r="L55" s="9" t="n">
        <x:f>ROUND(H55*I55,2)</x:f>
        <x:v>1232</x:v>
      </x:c>
      <x:c r="M55" s="9" t="n">
        <x:f>L55-J55</x:f>
        <x:v>985.6</x:v>
      </x:c>
      <x:c r="N55" s="4" t="n">
        <x:f>IF(COUNTIFS($B$7:B55,B55)=1,1,0)</x:f>
        <x:v>0</x:v>
      </x:c>
    </x:row>
    <x:row r="56" ht="22" customHeight="1">
      <x:c r="A56" s="4" t="str">
        <x:v>L2025-007400</x:v>
      </x:c>
      <x:c r="B56" s="4" t="str">
        <x:v>O2025-02960</x:v>
      </x:c>
      <x:c r="C56" s="14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5" t="n">
        <x:v>5</x:v>
      </x:c>
      <x:c r="I56" s="9" t="n">
        <x:v>110</x:v>
      </x:c>
      <x:c r="J56" s="9" t="n">
        <x:v>55</x:v>
      </x:c>
      <x:c r="K56" s="9" t="n">
        <x:v>57.2</x:v>
      </x:c>
      <x:c r="L56" s="9" t="n">
        <x:f>ROUND(H56*I56,2)</x:f>
        <x:v>550</x:v>
      </x:c>
      <x:c r="M56" s="9" t="n">
        <x:f>L56-J56</x:f>
        <x:v>495</x:v>
      </x:c>
      <x:c r="N56" s="4" t="n">
        <x:f>IF(COUNTIFS($B$7:B56,B56)=1,1,0)</x:f>
        <x:v>0</x:v>
      </x:c>
    </x:row>
    <x:row r="57" ht="22" customHeight="1">
      <x:c r="A57" s="4" t="str">
        <x:v>L2025-007888</x:v>
      </x:c>
      <x:c r="B57" s="4" t="str">
        <x:v>O2025-03156</x:v>
      </x:c>
      <x:c r="C57" s="14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5" t="n">
        <x:v>1</x:v>
      </x:c>
      <x:c r="I57" s="9" t="n">
        <x:v>168</x:v>
      </x:c>
      <x:c r="J57" s="9" t="n">
        <x:v>8.4</x:v>
      </x:c>
      <x:c r="K57" s="9" t="n">
        <x:v>104.16</x:v>
      </x:c>
      <x:c r="L57" s="9" t="n">
        <x:f>ROUND(H57*I57,2)</x:f>
        <x:v>168</x:v>
      </x:c>
      <x:c r="M57" s="9" t="n">
        <x:f>L57-J57</x:f>
        <x:v>159.6</x:v>
      </x:c>
      <x:c r="N57" s="4" t="n">
        <x:f>IF(COUNTIFS($B$7:B57,B57)=1,1,0)</x:f>
        <x:v>1</x:v>
      </x:c>
    </x:row>
    <x:row r="58" ht="22" customHeight="1">
      <x:c r="A58" s="4" t="str">
        <x:v>L2025-007889</x:v>
      </x:c>
      <x:c r="B58" s="4" t="str">
        <x:v>O2025-03156</x:v>
      </x:c>
      <x:c r="C58" s="14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5" t="n">
        <x:v>4</x:v>
      </x:c>
      <x:c r="I58" s="9" t="n">
        <x:v>80</x:v>
      </x:c>
      <x:c r="J58" s="9" t="n">
        <x:v>0</x:v>
      </x:c>
      <x:c r="K58" s="9" t="n">
        <x:v>41.6</x:v>
      </x:c>
      <x:c r="L58" s="9" t="n">
        <x:f>ROUND(H58*I58,2)</x:f>
        <x:v>320</x:v>
      </x:c>
      <x:c r="M58" s="9" t="n">
        <x:f>L58-J58</x:f>
        <x:v>320</x:v>
      </x:c>
      <x:c r="N58" s="4" t="n">
        <x:f>IF(COUNTIFS($B$7:B58,B58)=1,1,0)</x:f>
        <x:v>0</x:v>
      </x:c>
    </x:row>
    <x:row r="59" ht="22" customHeight="1">
      <x:c r="A59" s="4" t="str">
        <x:v>L2025-007890</x:v>
      </x:c>
      <x:c r="B59" s="4" t="str">
        <x:v>O2025-03156</x:v>
      </x:c>
      <x:c r="C59" s="14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5" t="n">
        <x:v>4</x:v>
      </x:c>
      <x:c r="I59" s="9" t="n">
        <x:v>540</x:v>
      </x:c>
      <x:c r="J59" s="9" t="n">
        <x:v>324</x:v>
      </x:c>
      <x:c r="K59" s="9" t="n">
        <x:v>324</x:v>
      </x:c>
      <x:c r="L59" s="9" t="n">
        <x:f>ROUND(H59*I59,2)</x:f>
        <x:v>2160</x:v>
      </x:c>
      <x:c r="M59" s="9" t="n">
        <x:f>L59-J59</x:f>
        <x:v>1836</x:v>
      </x:c>
      <x:c r="N59" s="4" t="n">
        <x:f>IF(COUNTIFS($B$7:B59,B59)=1,1,0)</x:f>
        <x:v>0</x:v>
      </x:c>
    </x:row>
    <x:row r="60" ht="22" customHeight="1">
      <x:c r="A60" s="4" t="str">
        <x:v>L2025-008381</x:v>
      </x:c>
      <x:c r="B60" s="4" t="str">
        <x:v>O2025-03353</x:v>
      </x:c>
      <x:c r="C60" s="14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5" t="n">
        <x:v>4</x:v>
      </x:c>
      <x:c r="I60" s="9" t="n">
        <x:v>1250</x:v>
      </x:c>
      <x:c r="J60" s="9" t="n">
        <x:v>750</x:v>
      </x:c>
      <x:c r="K60" s="9" t="n">
        <x:v>1050</x:v>
      </x:c>
      <x:c r="L60" s="9" t="n">
        <x:f>ROUND(H60*I60,2)</x:f>
        <x:v>5000</x:v>
      </x:c>
      <x:c r="M60" s="9" t="n">
        <x:f>L60-J60</x:f>
        <x:v>4250</x:v>
      </x:c>
      <x:c r="N60" s="4" t="n">
        <x:f>IF(COUNTIFS($B$7:B60,B60)=1,1,0)</x:f>
        <x:v>1</x:v>
      </x:c>
    </x:row>
    <x:row r="61" ht="22" customHeight="1">
      <x:c r="A61" s="4" t="str">
        <x:v>L2025-008382</x:v>
      </x:c>
      <x:c r="B61" s="4" t="str">
        <x:v>O2025-03353</x:v>
      </x:c>
      <x:c r="C61" s="14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5" t="n">
        <x:v>3</x:v>
      </x:c>
      <x:c r="I61" s="9" t="n">
        <x:v>360</x:v>
      </x:c>
      <x:c r="J61" s="9" t="n">
        <x:v>162</x:v>
      </x:c>
      <x:c r="K61" s="9" t="n">
        <x:v>216</x:v>
      </x:c>
      <x:c r="L61" s="9" t="n">
        <x:f>ROUND(H61*I61,2)</x:f>
        <x:v>1080</x:v>
      </x:c>
      <x:c r="M61" s="9" t="n">
        <x:f>L61-J61</x:f>
        <x:v>918</x:v>
      </x:c>
      <x:c r="N61" s="4" t="n">
        <x:f>IF(COUNTIFS($B$7:B61,B61)=1,1,0)</x:f>
        <x:v>0</x:v>
      </x:c>
    </x:row>
    <x:row r="62" ht="22" customHeight="1">
      <x:c r="A62" s="4" t="str">
        <x:v>L2025-008876</x:v>
      </x:c>
      <x:c r="B62" s="4" t="str">
        <x:v>O2025-03551</x:v>
      </x:c>
      <x:c r="C62" s="14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5" t="n">
        <x:v>4</x:v>
      </x:c>
      <x:c r="I62" s="9" t="n">
        <x:v>2750</x:v>
      </x:c>
      <x:c r="J62" s="9" t="n">
        <x:v>550</x:v>
      </x:c>
      <x:c r="K62" s="9" t="n">
        <x:v>2310</x:v>
      </x:c>
      <x:c r="L62" s="9" t="n">
        <x:f>ROUND(H62*I62,2)</x:f>
        <x:v>11000</x:v>
      </x:c>
      <x:c r="M62" s="9" t="n">
        <x:f>L62-J62</x:f>
        <x:v>10450</x:v>
      </x:c>
      <x:c r="N62" s="4" t="n">
        <x:f>IF(COUNTIFS($B$7:B62,B62)=1,1,0)</x:f>
        <x:v>1</x:v>
      </x:c>
    </x:row>
    <x:row r="63" ht="22" customHeight="1">
      <x:c r="A63" s="4" t="str">
        <x:v>L2025-008877</x:v>
      </x:c>
      <x:c r="B63" s="4" t="str">
        <x:v>O2025-03551</x:v>
      </x:c>
      <x:c r="C63" s="14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5" t="n">
        <x:v>4</x:v>
      </x:c>
      <x:c r="I63" s="9" t="n">
        <x:v>360</x:v>
      </x:c>
      <x:c r="J63" s="9" t="n">
        <x:v>0</x:v>
      </x:c>
      <x:c r="K63" s="9" t="n">
        <x:v>216</x:v>
      </x:c>
      <x:c r="L63" s="9" t="n">
        <x:f>ROUND(H63*I63,2)</x:f>
        <x:v>1440</x:v>
      </x:c>
      <x:c r="M63" s="9" t="n">
        <x:f>L63-J63</x:f>
        <x:v>1440</x:v>
      </x:c>
      <x:c r="N63" s="4" t="n">
        <x:f>IF(COUNTIFS($B$7:B63,B63)=1,1,0)</x:f>
        <x:v>0</x:v>
      </x:c>
    </x:row>
    <x:row r="64" ht="22" customHeight="1">
      <x:c r="A64" s="4" t="str">
        <x:v>L2025-009368</x:v>
      </x:c>
      <x:c r="B64" s="4" t="str">
        <x:v>O2025-03748</x:v>
      </x:c>
      <x:c r="C64" s="14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5" t="n">
        <x:v>1</x:v>
      </x:c>
      <x:c r="I64" s="9" t="n">
        <x:v>3750</x:v>
      </x:c>
      <x:c r="J64" s="9" t="n">
        <x:v>375</x:v>
      </x:c>
      <x:c r="K64" s="9" t="n">
        <x:v>3150</x:v>
      </x:c>
      <x:c r="L64" s="9" t="n">
        <x:f>ROUND(H64*I64,2)</x:f>
        <x:v>3750</x:v>
      </x:c>
      <x:c r="M64" s="9" t="n">
        <x:f>L64-J64</x:f>
        <x:v>3375</x:v>
      </x:c>
      <x:c r="N64" s="4" t="n">
        <x:f>IF(COUNTIFS($B$7:B64,B64)=1,1,0)</x:f>
        <x:v>1</x:v>
      </x:c>
    </x:row>
    <x:row r="65" ht="22" customHeight="1">
      <x:c r="A65" s="4" t="str">
        <x:v>L2025-009369</x:v>
      </x:c>
      <x:c r="B65" s="4" t="str">
        <x:v>O2025-03748</x:v>
      </x:c>
      <x:c r="C65" s="14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5" t="n">
        <x:v>5</x:v>
      </x:c>
      <x:c r="I65" s="9" t="n">
        <x:v>180</x:v>
      </x:c>
      <x:c r="J65" s="9" t="n">
        <x:v>90</x:v>
      </x:c>
      <x:c r="K65" s="9" t="n">
        <x:v>108</x:v>
      </x:c>
      <x:c r="L65" s="9" t="n">
        <x:f>ROUND(H65*I65,2)</x:f>
        <x:v>900</x:v>
      </x:c>
      <x:c r="M65" s="9" t="n">
        <x:f>L65-J65</x:f>
        <x:v>810</x:v>
      </x:c>
      <x:c r="N65" s="4" t="n">
        <x:f>IF(COUNTIFS($B$7:B65,B65)=1,1,0)</x:f>
        <x:v>0</x:v>
      </x:c>
    </x:row>
    <x:row r="66" ht="22" customHeight="1">
      <x:c r="A66" s="4" t="str">
        <x:v>L2025-009370</x:v>
      </x:c>
      <x:c r="B66" s="4" t="str">
        <x:v>O2025-03748</x:v>
      </x:c>
      <x:c r="C66" s="14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5" t="n">
        <x:v>2</x:v>
      </x:c>
      <x:c r="I66" s="9" t="n">
        <x:v>1250</x:v>
      </x:c>
      <x:c r="J66" s="9" t="n">
        <x:v>250</x:v>
      </x:c>
      <x:c r="K66" s="9" t="n">
        <x:v>1050</x:v>
      </x:c>
      <x:c r="L66" s="9" t="n">
        <x:f>ROUND(H66*I66,2)</x:f>
        <x:v>2500</x:v>
      </x:c>
      <x:c r="M66" s="9" t="n">
        <x:f>L66-J66</x:f>
        <x:v>2250</x:v>
      </x:c>
      <x:c r="N66" s="4" t="n">
        <x:f>IF(COUNTIFS($B$7:B66,B66)=1,1,0)</x:f>
        <x:v>0</x:v>
      </x:c>
    </x:row>
    <x:row r="67" ht="22" customHeight="1">
      <x:c r="A67" s="4" t="str">
        <x:v>L2025-009863</x:v>
      </x:c>
      <x:c r="B67" s="4" t="str">
        <x:v>O2025-03946</x:v>
      </x:c>
      <x:c r="C67" s="14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5" t="n">
        <x:v>3</x:v>
      </x:c>
      <x:c r="I67" s="9" t="n">
        <x:v>1250</x:v>
      </x:c>
      <x:c r="J67" s="9" t="n">
        <x:v>187.5</x:v>
      </x:c>
      <x:c r="K67" s="9" t="n">
        <x:v>1050</x:v>
      </x:c>
      <x:c r="L67" s="9" t="n">
        <x:f>ROUND(H67*I67,2)</x:f>
        <x:v>3750</x:v>
      </x:c>
      <x:c r="M67" s="9" t="n">
        <x:f>L67-J67</x:f>
        <x:v>3562.5</x:v>
      </x:c>
      <x:c r="N67" s="4" t="n">
        <x:f>IF(COUNTIFS($B$7:B67,B67)=1,1,0)</x:f>
        <x:v>1</x:v>
      </x:c>
    </x:row>
    <x:row r="68" ht="22" customHeight="1">
      <x:c r="A68" s="4" t="str">
        <x:v>L2025-009864</x:v>
      </x:c>
      <x:c r="B68" s="4" t="str">
        <x:v>O2025-03946</x:v>
      </x:c>
      <x:c r="C68" s="14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5" t="n">
        <x:v>2</x:v>
      </x:c>
      <x:c r="I68" s="9" t="n">
        <x:v>150</x:v>
      </x:c>
      <x:c r="J68" s="9" t="n">
        <x:v>30</x:v>
      </x:c>
      <x:c r="K68" s="9" t="n">
        <x:v>78</x:v>
      </x:c>
      <x:c r="L68" s="9" t="n">
        <x:f>ROUND(H68*I68,2)</x:f>
        <x:v>300</x:v>
      </x:c>
      <x:c r="M68" s="9" t="n">
        <x:f>L68-J68</x:f>
        <x:v>270</x:v>
      </x:c>
      <x:c r="N68" s="4" t="n">
        <x:f>IF(COUNTIFS($B$7:B68,B68)=1,1,0)</x:f>
        <x:v>0</x:v>
      </x:c>
    </x:row>
    <x:row r="69" ht="22" customHeight="1">
      <x:c r="A69" s="4" t="str">
        <x:v>L2025-009865</x:v>
      </x:c>
      <x:c r="B69" s="4" t="str">
        <x:v>O2025-03946</x:v>
      </x:c>
      <x:c r="C69" s="14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5" t="n">
        <x:v>1</x:v>
      </x:c>
      <x:c r="I69" s="9" t="n">
        <x:v>2750</x:v>
      </x:c>
      <x:c r="J69" s="9" t="n">
        <x:v>412.5</x:v>
      </x:c>
      <x:c r="K69" s="9" t="n">
        <x:v>2310</x:v>
      </x:c>
      <x:c r="L69" s="9" t="n">
        <x:f>ROUND(H69*I69,2)</x:f>
        <x:v>2750</x:v>
      </x:c>
      <x:c r="M69" s="9" t="n">
        <x:f>L69-J69</x:f>
        <x:v>2337.5</x:v>
      </x:c>
      <x:c r="N69" s="4" t="n">
        <x:f>IF(COUNTIFS($B$7:B69,B69)=1,1,0)</x:f>
        <x:v>0</x:v>
      </x:c>
    </x:row>
    <x:row r="70" ht="22" customHeight="1">
      <x:c r="A70" s="4" t="str">
        <x:v>L2025-009866</x:v>
      </x:c>
      <x:c r="B70" s="4" t="str">
        <x:v>O2025-03947</x:v>
      </x:c>
      <x:c r="C70" s="14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5" t="n">
        <x:v>4</x:v>
      </x:c>
      <x:c r="I70" s="9" t="n">
        <x:v>3500</x:v>
      </x:c>
      <x:c r="J70" s="9" t="n">
        <x:v>2100</x:v>
      </x:c>
      <x:c r="K70" s="9" t="n">
        <x:v>2940</x:v>
      </x:c>
      <x:c r="L70" s="9" t="n">
        <x:f>ROUND(H70*I70,2)</x:f>
        <x:v>14000</x:v>
      </x:c>
      <x:c r="M70" s="9" t="n">
        <x:f>L70-J70</x:f>
        <x:v>11900</x:v>
      </x:c>
      <x:c r="N70" s="4" t="n">
        <x:f>IF(COUNTIFS($B$7:B70,B70)=1,1,0)</x:f>
        <x:v>1</x:v>
      </x:c>
    </x:row>
    <x:row r="71" ht="22" customHeight="1">
      <x:c r="A71" s="4" t="str">
        <x:v>L2025-009867</x:v>
      </x:c>
      <x:c r="B71" s="4" t="str">
        <x:v>O2025-03947</x:v>
      </x:c>
      <x:c r="C71" s="14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5" t="n">
        <x:v>2</x:v>
      </x:c>
      <x:c r="I71" s="9" t="n">
        <x:v>90</x:v>
      </x:c>
      <x:c r="J71" s="9" t="n">
        <x:v>27</x:v>
      </x:c>
      <x:c r="K71" s="9" t="n">
        <x:v>46.8</x:v>
      </x:c>
      <x:c r="L71" s="9" t="n">
        <x:f>ROUND(H71*I71,2)</x:f>
        <x:v>180</x:v>
      </x:c>
      <x:c r="M71" s="9" t="n">
        <x:f>L71-J71</x:f>
        <x:v>153</x:v>
      </x:c>
      <x:c r="N71" s="4" t="n">
        <x:f>IF(COUNTIFS($B$7:B71,B71)=1,1,0)</x:f>
        <x:v>0</x:v>
      </x:c>
    </x:row>
    <x:row r="72" ht="22" customHeight="1">
      <x:c r="A72" s="4" t="str">
        <x:v>L2025-010373</x:v>
      </x:c>
      <x:c r="B72" s="4" t="str">
        <x:v>O2025-04150</x:v>
      </x:c>
      <x:c r="C72" s="14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5" t="n">
        <x:v>2</x:v>
      </x:c>
      <x:c r="I72" s="9" t="n">
        <x:v>2750</x:v>
      </x:c>
      <x:c r="J72" s="9" t="n">
        <x:v>825</x:v>
      </x:c>
      <x:c r="K72" s="9" t="n">
        <x:v>2310</x:v>
      </x:c>
      <x:c r="L72" s="9" t="n">
        <x:f>ROUND(H72*I72,2)</x:f>
        <x:v>5500</x:v>
      </x:c>
      <x:c r="M72" s="9" t="n">
        <x:f>L72-J72</x:f>
        <x:v>4675</x:v>
      </x:c>
      <x:c r="N72" s="4" t="n">
        <x:f>IF(COUNTIFS($B$7:B72,B72)=1,1,0)</x:f>
        <x:v>1</x:v>
      </x:c>
    </x:row>
    <x:row r="73" ht="22" customHeight="1">
      <x:c r="A73" s="4" t="str">
        <x:v>L2025-010374</x:v>
      </x:c>
      <x:c r="B73" s="4" t="str">
        <x:v>O2025-04150</x:v>
      </x:c>
      <x:c r="C73" s="14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5" t="n">
        <x:v>4</x:v>
      </x:c>
      <x:c r="I73" s="9" t="n">
        <x:v>2000</x:v>
      </x:c>
      <x:c r="J73" s="9" t="n">
        <x:v>1600</x:v>
      </x:c>
      <x:c r="K73" s="9" t="n">
        <x:v>1680</x:v>
      </x:c>
      <x:c r="L73" s="9" t="n">
        <x:f>ROUND(H73*I73,2)</x:f>
        <x:v>8000</x:v>
      </x:c>
      <x:c r="M73" s="9" t="n">
        <x:f>L73-J73</x:f>
        <x:v>6400</x:v>
      </x:c>
      <x:c r="N73" s="4" t="n">
        <x:f>IF(COUNTIFS($B$7:B73,B73)=1,1,0)</x:f>
        <x:v>0</x:v>
      </x:c>
    </x:row>
    <x:row r="74" ht="22" customHeight="1">
      <x:c r="A74" s="4" t="str">
        <x:v>L2025-010375</x:v>
      </x:c>
      <x:c r="B74" s="4" t="str">
        <x:v>O2025-04150</x:v>
      </x:c>
      <x:c r="C74" s="14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5" t="n">
        <x:v>1</x:v>
      </x:c>
      <x:c r="I74" s="9" t="n">
        <x:v>2250</x:v>
      </x:c>
      <x:c r="J74" s="9" t="n">
        <x:v>337.5</x:v>
      </x:c>
      <x:c r="K74" s="9" t="n">
        <x:v>1890</x:v>
      </x:c>
      <x:c r="L74" s="9" t="n">
        <x:f>ROUND(H74*I74,2)</x:f>
        <x:v>2250</x:v>
      </x:c>
      <x:c r="M74" s="9" t="n">
        <x:f>L74-J74</x:f>
        <x:v>1912.5</x:v>
      </x:c>
      <x:c r="N74" s="4" t="n">
        <x:f>IF(COUNTIFS($B$7:B74,B74)=1,1,0)</x:f>
        <x:v>0</x:v>
      </x:c>
    </x:row>
    <x:row r="75" ht="22" customHeight="1">
      <x:c r="A75" s="4" t="str">
        <x:v>L2025-010883</x:v>
      </x:c>
      <x:c r="B75" s="4" t="str">
        <x:v>O2025-04354</x:v>
      </x:c>
      <x:c r="C75" s="14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5" t="n">
        <x:v>2</x:v>
      </x:c>
      <x:c r="I75" s="9" t="n">
        <x:v>196</x:v>
      </x:c>
      <x:c r="J75" s="9" t="n">
        <x:v>58.8</x:v>
      </x:c>
      <x:c r="K75" s="9" t="n">
        <x:v>125.44</x:v>
      </x:c>
      <x:c r="L75" s="9" t="n">
        <x:f>ROUND(H75*I75,2)</x:f>
        <x:v>392</x:v>
      </x:c>
      <x:c r="M75" s="9" t="n">
        <x:f>L75-J75</x:f>
        <x:v>333.2</x:v>
      </x:c>
      <x:c r="N75" s="4" t="n">
        <x:f>IF(COUNTIFS($B$7:B75,B75)=1,1,0)</x:f>
        <x:v>1</x:v>
      </x:c>
    </x:row>
    <x:row r="76" ht="22" customHeight="1">
      <x:c r="A76" s="4" t="str">
        <x:v>L2025-010884</x:v>
      </x:c>
      <x:c r="B76" s="4" t="str">
        <x:v>O2025-04354</x:v>
      </x:c>
      <x:c r="C76" s="14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5" t="n">
        <x:v>4</x:v>
      </x:c>
      <x:c r="I76" s="9" t="n">
        <x:v>384</x:v>
      </x:c>
      <x:c r="J76" s="9" t="n">
        <x:v>0</x:v>
      </x:c>
      <x:c r="K76" s="9" t="n">
        <x:v>238.08</x:v>
      </x:c>
      <x:c r="L76" s="9" t="n">
        <x:f>ROUND(H76*I76,2)</x:f>
        <x:v>1536</x:v>
      </x:c>
      <x:c r="M76" s="9" t="n">
        <x:f>L76-J76</x:f>
        <x:v>1536</x:v>
      </x:c>
      <x:c r="N76" s="4" t="n">
        <x:f>IF(COUNTIFS($B$7:B76,B76)=1,1,0)</x:f>
        <x:v>0</x:v>
      </x:c>
    </x:row>
    <x:row r="77" ht="22" customHeight="1">
      <x:c r="A77" s="4" t="str">
        <x:v>L2025-010885</x:v>
      </x:c>
      <x:c r="B77" s="4" t="str">
        <x:v>O2025-04354</x:v>
      </x:c>
      <x:c r="C77" s="14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5" t="n">
        <x:v>4</x:v>
      </x:c>
      <x:c r="I77" s="9" t="n">
        <x:v>2500</x:v>
      </x:c>
      <x:c r="J77" s="9" t="n">
        <x:v>1500</x:v>
      </x:c>
      <x:c r="K77" s="9" t="n">
        <x:v>2100</x:v>
      </x:c>
      <x:c r="L77" s="9" t="n">
        <x:f>ROUND(H77*I77,2)</x:f>
        <x:v>10000</x:v>
      </x:c>
      <x:c r="M77" s="9" t="n">
        <x:f>L77-J77</x:f>
        <x:v>8500</x:v>
      </x:c>
      <x:c r="N77" s="4" t="n">
        <x:f>IF(COUNTIFS($B$7:B77,B77)=1,1,0)</x:f>
        <x:v>0</x:v>
      </x:c>
    </x:row>
    <x:row r="78" ht="22" customHeight="1">
      <x:c r="A78" s="4" t="str">
        <x:v>L2025-011391</x:v>
      </x:c>
      <x:c r="B78" s="4" t="str">
        <x:v>O2025-04557</x:v>
      </x:c>
      <x:c r="C78" s="14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5" t="n">
        <x:v>1</x:v>
      </x:c>
      <x:c r="I78" s="9" t="n">
        <x:v>336</x:v>
      </x:c>
      <x:c r="J78" s="9" t="n">
        <x:v>16.8</x:v>
      </x:c>
      <x:c r="K78" s="9" t="n">
        <x:v>208.32</x:v>
      </x:c>
      <x:c r="L78" s="9" t="n">
        <x:f>ROUND(H78*I78,2)</x:f>
        <x:v>336</x:v>
      </x:c>
      <x:c r="M78" s="9" t="n">
        <x:f>L78-J78</x:f>
        <x:v>319.2</x:v>
      </x:c>
      <x:c r="N78" s="4" t="n">
        <x:f>IF(COUNTIFS($B$7:B78,B78)=1,1,0)</x:f>
        <x:v>1</x:v>
      </x:c>
    </x:row>
    <x:row r="79" ht="22" customHeight="1">
      <x:c r="A79" s="4" t="str">
        <x:v>L2025-011392</x:v>
      </x:c>
      <x:c r="B79" s="4" t="str">
        <x:v>O2025-04557</x:v>
      </x:c>
      <x:c r="C79" s="14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5" t="n">
        <x:v>1</x:v>
      </x:c>
      <x:c r="I79" s="9" t="n">
        <x:v>100</x:v>
      </x:c>
      <x:c r="J79" s="9" t="n">
        <x:v>5</x:v>
      </x:c>
      <x:c r="K79" s="9" t="n">
        <x:v>52</x:v>
      </x:c>
      <x:c r="L79" s="9" t="n">
        <x:f>ROUND(H79*I79,2)</x:f>
        <x:v>100</x:v>
      </x:c>
      <x:c r="M79" s="9" t="n">
        <x:f>L79-J79</x:f>
        <x:v>95</x:v>
      </x:c>
      <x:c r="N79" s="4" t="n">
        <x:f>IF(COUNTIFS($B$7:B79,B79)=1,1,0)</x:f>
        <x:v>0</x:v>
      </x:c>
    </x:row>
    <x:row r="80" ht="22" customHeight="1">
      <x:c r="A80" s="4" t="str">
        <x:v>L2025-011901</x:v>
      </x:c>
      <x:c r="B80" s="4" t="str">
        <x:v>O2025-04761</x:v>
      </x:c>
      <x:c r="C80" s="14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5" t="n">
        <x:v>5</x:v>
      </x:c>
      <x:c r="I80" s="9" t="n">
        <x:v>448</x:v>
      </x:c>
      <x:c r="J80" s="9" t="n">
        <x:v>112</x:v>
      </x:c>
      <x:c r="K80" s="9" t="n">
        <x:v>286.72</x:v>
      </x:c>
      <x:c r="L80" s="9" t="n">
        <x:f>ROUND(H80*I80,2)</x:f>
        <x:v>2240</x:v>
      </x:c>
      <x:c r="M80" s="9" t="n">
        <x:f>L80-J80</x:f>
        <x:v>2128</x:v>
      </x:c>
      <x:c r="N80" s="4" t="n">
        <x:f>IF(COUNTIFS($B$7:B80,B80)=1,1,0)</x:f>
        <x:v>1</x:v>
      </x:c>
    </x:row>
    <x:row r="81" ht="22" customHeight="1">
      <x:c r="A81" s="4" t="str">
        <x:v>L2025-011902</x:v>
      </x:c>
      <x:c r="B81" s="4" t="str">
        <x:v>O2025-04761</x:v>
      </x:c>
      <x:c r="C81" s="14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5" t="n">
        <x:v>1</x:v>
      </x:c>
      <x:c r="I81" s="9" t="n">
        <x:v>70</x:v>
      </x:c>
      <x:c r="J81" s="9" t="n">
        <x:v>3.5</x:v>
      </x:c>
      <x:c r="K81" s="9" t="n">
        <x:v>36.4</x:v>
      </x:c>
      <x:c r="L81" s="9" t="n">
        <x:f>ROUND(H81*I81,2)</x:f>
        <x:v>70</x:v>
      </x:c>
      <x:c r="M81" s="9" t="n">
        <x:f>L81-J81</x:f>
        <x:v>66.5</x:v>
      </x:c>
      <x:c r="N81" s="4" t="n">
        <x:f>IF(COUNTIFS($B$7:B81,B81)=1,1,0)</x:f>
        <x:v>0</x:v>
      </x:c>
    </x:row>
    <x:row r="82" ht="22" customHeight="1">
      <x:c r="A82" s="4" t="str">
        <x:v>L2025-012411</x:v>
      </x:c>
      <x:c r="B82" s="4" t="str">
        <x:v>O2025-04965</x:v>
      </x:c>
      <x:c r="C82" s="14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5" t="n">
        <x:v>5</x:v>
      </x:c>
      <x:c r="I82" s="9" t="n">
        <x:v>240</x:v>
      </x:c>
      <x:c r="J82" s="9" t="n">
        <x:v>240</x:v>
      </x:c>
      <x:c r="K82" s="9" t="n">
        <x:v>148.8</x:v>
      </x:c>
      <x:c r="L82" s="9" t="n">
        <x:f>ROUND(H82*I82,2)</x:f>
        <x:v>1200</x:v>
      </x:c>
      <x:c r="M82" s="9" t="n">
        <x:f>L82-J82</x:f>
        <x:v>960</x:v>
      </x:c>
      <x:c r="N82" s="4" t="n">
        <x:f>IF(COUNTIFS($B$7:B82,B82)=1,1,0)</x:f>
        <x:v>1</x:v>
      </x:c>
    </x:row>
    <x:row r="83" ht="22" customHeight="1">
      <x:c r="A83" s="4" t="str">
        <x:v>L2025-012412</x:v>
      </x:c>
      <x:c r="B83" s="4" t="str">
        <x:v>O2025-04965</x:v>
      </x:c>
      <x:c r="C83" s="14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5" t="n">
        <x:v>1</x:v>
      </x:c>
      <x:c r="I83" s="9" t="n">
        <x:v>448</x:v>
      </x:c>
      <x:c r="J83" s="9" t="n">
        <x:v>44.8</x:v>
      </x:c>
      <x:c r="K83" s="9" t="n">
        <x:v>286.72</x:v>
      </x:c>
      <x:c r="L83" s="9" t="n">
        <x:f>ROUND(H83*I83,2)</x:f>
        <x:v>448</x:v>
      </x:c>
      <x:c r="M83" s="9" t="n">
        <x:f>L83-J83</x:f>
        <x:v>403.2</x:v>
      </x:c>
      <x:c r="N83" s="4" t="n">
        <x:f>IF(COUNTIFS($B$7:B83,B83)=1,1,0)</x:f>
        <x:v>0</x:v>
      </x:c>
    </x:row>
    <x:row r="84" ht="22" customHeight="1">
      <x:c r="A84" s="4" t="str">
        <x:v>L2025-012413</x:v>
      </x:c>
      <x:c r="B84" s="4" t="str">
        <x:v>O2025-04966</x:v>
      </x:c>
      <x:c r="C84" s="14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5" t="n">
        <x:v>5</x:v>
      </x:c>
      <x:c r="I84" s="9" t="n">
        <x:v>540</x:v>
      </x:c>
      <x:c r="J84" s="9" t="n">
        <x:v>0</x:v>
      </x:c>
      <x:c r="K84" s="9" t="n">
        <x:v>324</x:v>
      </x:c>
      <x:c r="L84" s="9" t="n">
        <x:f>ROUND(H84*I84,2)</x:f>
        <x:v>2700</x:v>
      </x:c>
      <x:c r="M84" s="9" t="n">
        <x:f>L84-J84</x:f>
        <x:v>2700</x:v>
      </x:c>
      <x:c r="N84" s="4" t="n">
        <x:f>IF(COUNTIFS($B$7:B84,B84)=1,1,0)</x:f>
        <x:v>1</x:v>
      </x:c>
    </x:row>
    <x:row r="85" ht="22" customHeight="1">
      <x:c r="A85" s="4" t="str">
        <x:v>L2025-012414</x:v>
      </x:c>
      <x:c r="B85" s="4" t="str">
        <x:v>O2025-04966</x:v>
      </x:c>
      <x:c r="C85" s="14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5" t="n">
        <x:v>3</x:v>
      </x:c>
      <x:c r="I85" s="9" t="n">
        <x:v>120</x:v>
      </x:c>
      <x:c r="J85" s="9" t="n">
        <x:v>18</x:v>
      </x:c>
      <x:c r="K85" s="9" t="n">
        <x:v>74.4</x:v>
      </x:c>
      <x:c r="L85" s="9" t="n">
        <x:f>ROUND(H85*I85,2)</x:f>
        <x:v>360</x:v>
      </x:c>
      <x:c r="M85" s="9" t="n">
        <x:f>L85-J85</x:f>
        <x:v>342</x:v>
      </x:c>
      <x:c r="N85" s="4" t="n">
        <x:f>IF(COUNTIFS($B$7:B85,B85)=1,1,0)</x:f>
        <x:v>0</x:v>
      </x:c>
    </x:row>
    <x:row r="86" ht="22" customHeight="1">
      <x:c r="A86" s="4" t="str">
        <x:v>L2025-012415</x:v>
      </x:c>
      <x:c r="B86" s="4" t="str">
        <x:v>O2025-04966</x:v>
      </x:c>
      <x:c r="C86" s="14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5" t="n">
        <x:v>5</x:v>
      </x:c>
      <x:c r="I86" s="9" t="n">
        <x:v>264</x:v>
      </x:c>
      <x:c r="J86" s="9" t="n">
        <x:v>0</x:v>
      </x:c>
      <x:c r="K86" s="9" t="n">
        <x:v>163.68</x:v>
      </x:c>
      <x:c r="L86" s="9" t="n">
        <x:f>ROUND(H86*I86,2)</x:f>
        <x:v>1320</x:v>
      </x:c>
      <x:c r="M86" s="9" t="n">
        <x:f>L86-J86</x:f>
        <x:v>1320</x:v>
      </x:c>
      <x:c r="N86" s="4" t="n">
        <x:f>IF(COUNTIFS($B$7:B86,B86)=1,1,0)</x:f>
        <x:v>0</x:v>
      </x:c>
    </x:row>
    <x:row r="87" ht="22" customHeight="1">
      <x:c r="A87" s="4" t="str">
        <x:v>L2025-012903</x:v>
      </x:c>
      <x:c r="B87" s="4" t="str">
        <x:v>O2025-05162</x:v>
      </x:c>
      <x:c r="C87" s="14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5" t="n">
        <x:v>2</x:v>
      </x:c>
      <x:c r="I87" s="9" t="n">
        <x:v>168</x:v>
      </x:c>
      <x:c r="J87" s="9" t="n">
        <x:v>67.2</x:v>
      </x:c>
      <x:c r="K87" s="9" t="n">
        <x:v>107.52</x:v>
      </x:c>
      <x:c r="L87" s="9" t="n">
        <x:f>ROUND(H87*I87,2)</x:f>
        <x:v>336</x:v>
      </x:c>
      <x:c r="M87" s="9" t="n">
        <x:f>L87-J87</x:f>
        <x:v>268.8</x:v>
      </x:c>
      <x:c r="N87" s="4" t="n">
        <x:f>IF(COUNTIFS($B$7:B87,B87)=1,1,0)</x:f>
        <x:v>1</x:v>
      </x:c>
    </x:row>
    <x:row r="88" ht="22" customHeight="1">
      <x:c r="A88" s="4" t="str">
        <x:v>L2025-012904</x:v>
      </x:c>
      <x:c r="B88" s="4" t="str">
        <x:v>O2025-05162</x:v>
      </x:c>
      <x:c r="C88" s="14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5" t="n">
        <x:v>5</x:v>
      </x:c>
      <x:c r="I88" s="9" t="n">
        <x:v>90</x:v>
      </x:c>
      <x:c r="J88" s="9" t="n">
        <x:v>67.5</x:v>
      </x:c>
      <x:c r="K88" s="9" t="n">
        <x:v>46.8</x:v>
      </x:c>
      <x:c r="L88" s="9" t="n">
        <x:f>ROUND(H88*I88,2)</x:f>
        <x:v>450</x:v>
      </x:c>
      <x:c r="M88" s="9" t="n">
        <x:f>L88-J88</x:f>
        <x:v>382.5</x:v>
      </x:c>
      <x:c r="N88" s="4" t="n">
        <x:f>IF(COUNTIFS($B$7:B88,B88)=1,1,0)</x:f>
        <x:v>0</x:v>
      </x:c>
    </x:row>
    <x:row r="89" ht="22" customHeight="1">
      <x:c r="A89" s="4" t="str">
        <x:v>L2025-012905</x:v>
      </x:c>
      <x:c r="B89" s="4" t="str">
        <x:v>O2025-05162</x:v>
      </x:c>
      <x:c r="C89" s="14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5" t="n">
        <x:v>5</x:v>
      </x:c>
      <x:c r="I89" s="9" t="n">
        <x:v>1750</x:v>
      </x:c>
      <x:c r="J89" s="9" t="n">
        <x:v>0</x:v>
      </x:c>
      <x:c r="K89" s="9" t="n">
        <x:v>1470</x:v>
      </x:c>
      <x:c r="L89" s="9" t="n">
        <x:f>ROUND(H89*I89,2)</x:f>
        <x:v>8750</x:v>
      </x:c>
      <x:c r="M89" s="9" t="n">
        <x:f>L89-J89</x:f>
        <x:v>8750</x:v>
      </x:c>
      <x:c r="N89" s="4" t="n">
        <x:f>IF(COUNTIFS($B$7:B89,B89)=1,1,0)</x:f>
        <x:v>0</x:v>
      </x:c>
    </x:row>
    <x:row r="90" ht="22" customHeight="1">
      <x:c r="A90" s="4" t="str">
        <x:v>L2025-013396</x:v>
      </x:c>
      <x:c r="B90" s="4" t="str">
        <x:v>O2025-05359</x:v>
      </x:c>
      <x:c r="C90" s="14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5" t="n">
        <x:v>2</x:v>
      </x:c>
      <x:c r="I90" s="9" t="n">
        <x:v>1500</x:v>
      </x:c>
      <x:c r="J90" s="9" t="n">
        <x:v>0</x:v>
      </x:c>
      <x:c r="K90" s="9" t="n">
        <x:v>1260</x:v>
      </x:c>
      <x:c r="L90" s="9" t="n">
        <x:f>ROUND(H90*I90,2)</x:f>
        <x:v>3000</x:v>
      </x:c>
      <x:c r="M90" s="9" t="n">
        <x:f>L90-J90</x:f>
        <x:v>3000</x:v>
      </x:c>
      <x:c r="N90" s="4" t="n">
        <x:f>IF(COUNTIFS($B$7:B90,B90)=1,1,0)</x:f>
        <x:v>1</x:v>
      </x:c>
    </x:row>
    <x:row r="91" ht="22" customHeight="1">
      <x:c r="A91" s="4" t="str">
        <x:v>L2025-013397</x:v>
      </x:c>
      <x:c r="B91" s="4" t="str">
        <x:v>O2025-05359</x:v>
      </x:c>
      <x:c r="C91" s="14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5" t="n">
        <x:v>1</x:v>
      </x:c>
      <x:c r="I91" s="9" t="n">
        <x:v>448</x:v>
      </x:c>
      <x:c r="J91" s="9" t="n">
        <x:v>0</x:v>
      </x:c>
      <x:c r="K91" s="9" t="n">
        <x:v>286.72</x:v>
      </x:c>
      <x:c r="L91" s="9" t="n">
        <x:f>ROUND(H91*I91,2)</x:f>
        <x:v>448</x:v>
      </x:c>
      <x:c r="M91" s="9" t="n">
        <x:f>L91-J91</x:f>
        <x:v>448</x:v>
      </x:c>
      <x:c r="N91" s="4" t="n">
        <x:f>IF(COUNTIFS($B$7:B91,B91)=1,1,0)</x:f>
        <x:v>0</x:v>
      </x:c>
    </x:row>
    <x:row r="92" ht="22" customHeight="1">
      <x:c r="A92" s="4" t="str">
        <x:v>L2025-013888</x:v>
      </x:c>
      <x:c r="B92" s="4" t="str">
        <x:v>O2025-05556</x:v>
      </x:c>
      <x:c r="C92" s="14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5" t="n">
        <x:v>5</x:v>
      </x:c>
      <x:c r="I92" s="9" t="n">
        <x:v>312</x:v>
      </x:c>
      <x:c r="J92" s="9" t="n">
        <x:v>312</x:v>
      </x:c>
      <x:c r="K92" s="9" t="n">
        <x:v>193.44</x:v>
      </x:c>
      <x:c r="L92" s="9" t="n">
        <x:f>ROUND(H92*I92,2)</x:f>
        <x:v>1560</x:v>
      </x:c>
      <x:c r="M92" s="9" t="n">
        <x:f>L92-J92</x:f>
        <x:v>1248</x:v>
      </x:c>
      <x:c r="N92" s="4" t="n">
        <x:f>IF(COUNTIFS($B$7:B92,B92)=1,1,0)</x:f>
        <x:v>1</x:v>
      </x:c>
    </x:row>
    <x:row r="93" ht="22" customHeight="1">
      <x:c r="A93" s="4" t="str">
        <x:v>L2025-013889</x:v>
      </x:c>
      <x:c r="B93" s="4" t="str">
        <x:v>O2025-05556</x:v>
      </x:c>
      <x:c r="C93" s="14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5" t="n">
        <x:v>5</x:v>
      </x:c>
      <x:c r="I93" s="9" t="n">
        <x:v>252</x:v>
      </x:c>
      <x:c r="J93" s="9" t="n">
        <x:v>0</x:v>
      </x:c>
      <x:c r="K93" s="9" t="n">
        <x:v>151.2</x:v>
      </x:c>
      <x:c r="L93" s="9" t="n">
        <x:f>ROUND(H93*I93,2)</x:f>
        <x:v>1260</x:v>
      </x:c>
      <x:c r="M93" s="9" t="n">
        <x:f>L93-J93</x:f>
        <x:v>1260</x:v>
      </x:c>
      <x:c r="N93" s="4" t="n">
        <x:f>IF(COUNTIFS($B$7:B93,B93)=1,1,0)</x:f>
        <x:v>0</x:v>
      </x:c>
    </x:row>
    <x:row r="94" ht="22" customHeight="1">
      <x:c r="A94" s="4" t="str">
        <x:v>L2025-013890</x:v>
      </x:c>
      <x:c r="B94" s="4" t="str">
        <x:v>O2025-05556</x:v>
      </x:c>
      <x:c r="C94" s="14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5" t="n">
        <x:v>4</x:v>
      </x:c>
      <x:c r="I94" s="9" t="n">
        <x:v>3500</x:v>
      </x:c>
      <x:c r="J94" s="9" t="n">
        <x:v>1400</x:v>
      </x:c>
      <x:c r="K94" s="9" t="n">
        <x:v>2940</x:v>
      </x:c>
      <x:c r="L94" s="9" t="n">
        <x:f>ROUND(H94*I94,2)</x:f>
        <x:v>14000</x:v>
      </x:c>
      <x:c r="M94" s="9" t="n">
        <x:f>L94-J94</x:f>
        <x:v>12600</x:v>
      </x:c>
      <x:c r="N94" s="4" t="n">
        <x:f>IF(COUNTIFS($B$7:B94,B94)=1,1,0)</x:f>
        <x:v>0</x:v>
      </x:c>
    </x:row>
    <x:row r="95" ht="22" customHeight="1">
      <x:c r="A95" s="4" t="str">
        <x:v>L2025-014381</x:v>
      </x:c>
      <x:c r="B95" s="4" t="str">
        <x:v>O2025-05753</x:v>
      </x:c>
      <x:c r="C95" s="14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5" t="n">
        <x:v>3</x:v>
      </x:c>
      <x:c r="I95" s="9" t="n">
        <x:v>120</x:v>
      </x:c>
      <x:c r="J95" s="9" t="n">
        <x:v>36</x:v>
      </x:c>
      <x:c r="K95" s="9" t="n">
        <x:v>74.4</x:v>
      </x:c>
      <x:c r="L95" s="9" t="n">
        <x:f>ROUND(H95*I95,2)</x:f>
        <x:v>360</x:v>
      </x:c>
      <x:c r="M95" s="9" t="n">
        <x:f>L95-J95</x:f>
        <x:v>324</x:v>
      </x:c>
      <x:c r="N95" s="4" t="n">
        <x:f>IF(COUNTIFS($B$7:B95,B95)=1,1,0)</x:f>
        <x:v>1</x:v>
      </x:c>
    </x:row>
    <x:row r="96" ht="22" customHeight="1">
      <x:c r="A96" s="4" t="str">
        <x:v>L2025-014382</x:v>
      </x:c>
      <x:c r="B96" s="4" t="str">
        <x:v>O2025-05753</x:v>
      </x:c>
      <x:c r="C96" s="14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5" t="n">
        <x:v>5</x:v>
      </x:c>
      <x:c r="I96" s="9" t="n">
        <x:v>364</x:v>
      </x:c>
      <x:c r="J96" s="9" t="n">
        <x:v>364</x:v>
      </x:c>
      <x:c r="K96" s="9" t="n">
        <x:v>232.96</x:v>
      </x:c>
      <x:c r="L96" s="9" t="n">
        <x:f>ROUND(H96*I96,2)</x:f>
        <x:v>1820</x:v>
      </x:c>
      <x:c r="M96" s="9" t="n">
        <x:f>L96-J96</x:f>
        <x:v>1456</x:v>
      </x:c>
      <x:c r="N96" s="4" t="n">
        <x:f>IF(COUNTIFS($B$7:B96,B96)=1,1,0)</x:f>
        <x:v>0</x:v>
      </x:c>
    </x:row>
    <x:row r="97" ht="22" customHeight="1">
      <x:c r="A97" s="4" t="str">
        <x:v>L2025-014876</x:v>
      </x:c>
      <x:c r="B97" s="4" t="str">
        <x:v>O2025-05951</x:v>
      </x:c>
      <x:c r="C97" s="14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5" t="n">
        <x:v>3</x:v>
      </x:c>
      <x:c r="I97" s="9" t="n">
        <x:v>140</x:v>
      </x:c>
      <x:c r="J97" s="9" t="n">
        <x:v>84</x:v>
      </x:c>
      <x:c r="K97" s="9" t="n">
        <x:v>72.8</x:v>
      </x:c>
      <x:c r="L97" s="9" t="n">
        <x:f>ROUND(H97*I97,2)</x:f>
        <x:v>420</x:v>
      </x:c>
      <x:c r="M97" s="9" t="n">
        <x:f>L97-J97</x:f>
        <x:v>336</x:v>
      </x:c>
      <x:c r="N97" s="4" t="n">
        <x:f>IF(COUNTIFS($B$7:B97,B97)=1,1,0)</x:f>
        <x:v>1</x:v>
      </x:c>
    </x:row>
    <x:row r="98" ht="22" customHeight="1">
      <x:c r="A98" s="4" t="str">
        <x:v>L2025-014877</x:v>
      </x:c>
      <x:c r="B98" s="4" t="str">
        <x:v>O2025-05951</x:v>
      </x:c>
      <x:c r="C98" s="14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5" t="n">
        <x:v>1</x:v>
      </x:c>
      <x:c r="I98" s="9" t="n">
        <x:v>2500</x:v>
      </x:c>
      <x:c r="J98" s="9" t="n">
        <x:v>375</x:v>
      </x:c>
      <x:c r="K98" s="9" t="n">
        <x:v>2100</x:v>
      </x:c>
      <x:c r="L98" s="9" t="n">
        <x:f>ROUND(H98*I98,2)</x:f>
        <x:v>2500</x:v>
      </x:c>
      <x:c r="M98" s="9" t="n">
        <x:f>L98-J98</x:f>
        <x:v>2125</x:v>
      </x:c>
      <x:c r="N98" s="4" t="n">
        <x:f>IF(COUNTIFS($B$7:B98,B98)=1,1,0)</x:f>
        <x:v>0</x:v>
      </x:c>
    </x:row>
    <x:row r="99" ht="22" customHeight="1">
      <x:c r="A99" s="4" t="str">
        <x:v>L2025-014878</x:v>
      </x:c>
      <x:c r="B99" s="4" t="str">
        <x:v>O2025-05952</x:v>
      </x:c>
      <x:c r="C99" s="14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5" t="n">
        <x:v>1</x:v>
      </x:c>
      <x:c r="I99" s="9" t="n">
        <x:v>80</x:v>
      </x:c>
      <x:c r="J99" s="9" t="n">
        <x:v>8</x:v>
      </x:c>
      <x:c r="K99" s="9" t="n">
        <x:v>41.6</x:v>
      </x:c>
      <x:c r="L99" s="9" t="n">
        <x:f>ROUND(H99*I99,2)</x:f>
        <x:v>80</x:v>
      </x:c>
      <x:c r="M99" s="9" t="n">
        <x:f>L99-J99</x:f>
        <x:v>72</x:v>
      </x:c>
      <x:c r="N99" s="4" t="n">
        <x:f>IF(COUNTIFS($B$7:B99,B99)=1,1,0)</x:f>
        <x:v>1</x:v>
      </x:c>
    </x:row>
    <x:row r="100" ht="22" customHeight="1">
      <x:c r="A100" s="4" t="str">
        <x:v>L2025-014879</x:v>
      </x:c>
      <x:c r="B100" s="4" t="str">
        <x:v>O2025-05952</x:v>
      </x:c>
      <x:c r="C100" s="14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5" t="n">
        <x:v>3</x:v>
      </x:c>
      <x:c r="I100" s="9" t="n">
        <x:v>576</x:v>
      </x:c>
      <x:c r="J100" s="9" t="n">
        <x:v>0</x:v>
      </x:c>
      <x:c r="K100" s="9" t="n">
        <x:v>345.6</x:v>
      </x:c>
      <x:c r="L100" s="9" t="n">
        <x:f>ROUND(H100*I100,2)</x:f>
        <x:v>1728</x:v>
      </x:c>
      <x:c r="M100" s="9" t="n">
        <x:f>L100-J100</x:f>
        <x:v>1728</x:v>
      </x:c>
      <x:c r="N100" s="4" t="n">
        <x:f>IF(COUNTIFS($B$7:B100,B100)=1,1,0)</x:f>
        <x:v>0</x:v>
      </x:c>
    </x:row>
    <x:row r="101" ht="22" customHeight="1">
      <x:c r="A101" s="4" t="str">
        <x:v>L2025-014880</x:v>
      </x:c>
      <x:c r="B101" s="4" t="str">
        <x:v>O2025-05952</x:v>
      </x:c>
      <x:c r="C101" s="14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5" t="n">
        <x:v>2</x:v>
      </x:c>
      <x:c r="I101" s="9" t="n">
        <x:v>224</x:v>
      </x:c>
      <x:c r="J101" s="9" t="n">
        <x:v>67.2</x:v>
      </x:c>
      <x:c r="K101" s="9" t="n">
        <x:v>143.36</x:v>
      </x:c>
      <x:c r="L101" s="9" t="n">
        <x:f>ROUND(H101*I101,2)</x:f>
        <x:v>448</x:v>
      </x:c>
      <x:c r="M101" s="9" t="n">
        <x:f>L101-J101</x:f>
        <x:v>380.8</x:v>
      </x:c>
      <x:c r="N101" s="4" t="n">
        <x:f>IF(COUNTIFS($B$7:B101,B101)=1,1,0)</x:f>
        <x:v>0</x:v>
      </x:c>
    </x:row>
    <x:row r="102" ht="22" customHeight="1">
      <x:c r="A102" s="4" t="str">
        <x:v>L2025-015386</x:v>
      </x:c>
      <x:c r="B102" s="4" t="str">
        <x:v>O2025-06155</x:v>
      </x:c>
      <x:c r="C102" s="14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5" t="n">
        <x:v>1</x:v>
      </x:c>
      <x:c r="I102" s="9" t="n">
        <x:v>336</x:v>
      </x:c>
      <x:c r="J102" s="9" t="n">
        <x:v>50.4</x:v>
      </x:c>
      <x:c r="K102" s="9" t="n">
        <x:v>208.32</x:v>
      </x:c>
      <x:c r="L102" s="9" t="n">
        <x:f>ROUND(H102*I102,2)</x:f>
        <x:v>336</x:v>
      </x:c>
      <x:c r="M102" s="9" t="n">
        <x:f>L102-J102</x:f>
        <x:v>285.6</x:v>
      </x:c>
      <x:c r="N102" s="4" t="n">
        <x:f>IF(COUNTIFS($B$7:B102,B102)=1,1,0)</x:f>
        <x:v>1</x:v>
      </x:c>
    </x:row>
    <x:row r="103" ht="22" customHeight="1">
      <x:c r="A103" s="4" t="str">
        <x:v>L2025-015387</x:v>
      </x:c>
      <x:c r="B103" s="4" t="str">
        <x:v>O2025-06155</x:v>
      </x:c>
      <x:c r="C103" s="14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5" t="n">
        <x:v>5</x:v>
      </x:c>
      <x:c r="I103" s="9" t="n">
        <x:v>3000</x:v>
      </x:c>
      <x:c r="J103" s="9" t="n">
        <x:v>0</x:v>
      </x:c>
      <x:c r="K103" s="9" t="n">
        <x:v>2520</x:v>
      </x:c>
      <x:c r="L103" s="9" t="n">
        <x:f>ROUND(H103*I103,2)</x:f>
        <x:v>15000</x:v>
      </x:c>
      <x:c r="M103" s="9" t="n">
        <x:f>L103-J103</x:f>
        <x:v>15000</x:v>
      </x:c>
      <x:c r="N103" s="4" t="n">
        <x:f>IF(COUNTIFS($B$7:B103,B103)=1,1,0)</x:f>
        <x:v>0</x:v>
      </x:c>
    </x:row>
    <x:row r="104" ht="22" customHeight="1">
      <x:c r="A104" s="4" t="str">
        <x:v>L2025-015896</x:v>
      </x:c>
      <x:c r="B104" s="4" t="str">
        <x:v>O2025-06359</x:v>
      </x:c>
      <x:c r="C104" s="14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5" t="n">
        <x:v>3</x:v>
      </x:c>
      <x:c r="I104" s="9" t="n">
        <x:v>2500</x:v>
      </x:c>
      <x:c r="J104" s="9" t="n">
        <x:v>750</x:v>
      </x:c>
      <x:c r="K104" s="9" t="n">
        <x:v>2100</x:v>
      </x:c>
      <x:c r="L104" s="9" t="n">
        <x:f>ROUND(H104*I104,2)</x:f>
        <x:v>7500</x:v>
      </x:c>
      <x:c r="M104" s="9" t="n">
        <x:f>L104-J104</x:f>
        <x:v>6750</x:v>
      </x:c>
      <x:c r="N104" s="4" t="n">
        <x:f>IF(COUNTIFS($B$7:B104,B104)=1,1,0)</x:f>
        <x:v>1</x:v>
      </x:c>
    </x:row>
    <x:row r="105" ht="22" customHeight="1">
      <x:c r="A105" s="4" t="str">
        <x:v>L2025-015897</x:v>
      </x:c>
      <x:c r="B105" s="4" t="str">
        <x:v>O2025-06359</x:v>
      </x:c>
      <x:c r="C105" s="14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5" t="n">
        <x:v>3</x:v>
      </x:c>
      <x:c r="I105" s="9" t="n">
        <x:v>70</x:v>
      </x:c>
      <x:c r="J105" s="9" t="n">
        <x:v>31.5</x:v>
      </x:c>
      <x:c r="K105" s="9" t="n">
        <x:v>36.4</x:v>
      </x:c>
      <x:c r="L105" s="9" t="n">
        <x:f>ROUND(H105*I105,2)</x:f>
        <x:v>210</x:v>
      </x:c>
      <x:c r="M105" s="9" t="n">
        <x:f>L105-J105</x:f>
        <x:v>178.5</x:v>
      </x:c>
      <x:c r="N105" s="4" t="n">
        <x:f>IF(COUNTIFS($B$7:B105,B105)=1,1,0)</x:f>
        <x:v>0</x:v>
      </x:c>
    </x:row>
    <x:row r="106" ht="22" customHeight="1">
      <x:c r="A106" s="4" t="str">
        <x:v>L2025-016406</x:v>
      </x:c>
      <x:c r="B106" s="4" t="str">
        <x:v>O2025-06563</x:v>
      </x:c>
      <x:c r="C106" s="14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5" t="n">
        <x:v>1</x:v>
      </x:c>
      <x:c r="I106" s="9" t="n">
        <x:v>150</x:v>
      </x:c>
      <x:c r="J106" s="9" t="n">
        <x:v>15</x:v>
      </x:c>
      <x:c r="K106" s="9" t="n">
        <x:v>78</x:v>
      </x:c>
      <x:c r="L106" s="9" t="n">
        <x:f>ROUND(H106*I106,2)</x:f>
        <x:v>150</x:v>
      </x:c>
      <x:c r="M106" s="9" t="n">
        <x:f>L106-J106</x:f>
        <x:v>135</x:v>
      </x:c>
      <x:c r="N106" s="4" t="n">
        <x:f>IF(COUNTIFS($B$7:B106,B106)=1,1,0)</x:f>
        <x:v>1</x:v>
      </x:c>
    </x:row>
    <x:row r="107" ht="22" customHeight="1">
      <x:c r="A107" s="4" t="str">
        <x:v>L2025-016407</x:v>
      </x:c>
      <x:c r="B107" s="4" t="str">
        <x:v>O2025-06563</x:v>
      </x:c>
      <x:c r="C107" s="14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5" t="n">
        <x:v>5</x:v>
      </x:c>
      <x:c r="I107" s="9" t="n">
        <x:v>168</x:v>
      </x:c>
      <x:c r="J107" s="9" t="n">
        <x:v>126</x:v>
      </x:c>
      <x:c r="K107" s="9" t="n">
        <x:v>107.52</x:v>
      </x:c>
      <x:c r="L107" s="9" t="n">
        <x:f>ROUND(H107*I107,2)</x:f>
        <x:v>840</x:v>
      </x:c>
      <x:c r="M107" s="9" t="n">
        <x:f>L107-J107</x:f>
        <x:v>714</x:v>
      </x:c>
      <x:c r="N107" s="4" t="n">
        <x:f>IF(COUNTIFS($B$7:B107,B107)=1,1,0)</x:f>
        <x:v>0</x:v>
      </x:c>
    </x:row>
    <x:row r="108" ht="22" customHeight="1">
      <x:c r="A108" s="4" t="str">
        <x:v>L2025-016916</x:v>
      </x:c>
      <x:c r="B108" s="4" t="str">
        <x:v>O2025-06767</x:v>
      </x:c>
      <x:c r="C108" s="14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5" t="n">
        <x:v>4</x:v>
      </x:c>
      <x:c r="I108" s="9" t="n">
        <x:v>3500</x:v>
      </x:c>
      <x:c r="J108" s="9" t="n">
        <x:v>2800</x:v>
      </x:c>
      <x:c r="K108" s="9" t="n">
        <x:v>2940</x:v>
      </x:c>
      <x:c r="L108" s="9" t="n">
        <x:f>ROUND(H108*I108,2)</x:f>
        <x:v>14000</x:v>
      </x:c>
      <x:c r="M108" s="9" t="n">
        <x:f>L108-J108</x:f>
        <x:v>11200</x:v>
      </x:c>
      <x:c r="N108" s="4" t="n">
        <x:f>IF(COUNTIFS($B$7:B108,B108)=1,1,0)</x:f>
        <x:v>1</x:v>
      </x:c>
    </x:row>
    <x:row r="109" ht="22" customHeight="1">
      <x:c r="A109" s="4" t="str">
        <x:v>L2025-016917</x:v>
      </x:c>
      <x:c r="B109" s="4" t="str">
        <x:v>O2025-06767</x:v>
      </x:c>
      <x:c r="C109" s="14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5" t="n">
        <x:v>4</x:v>
      </x:c>
      <x:c r="I109" s="9" t="n">
        <x:v>2000</x:v>
      </x:c>
      <x:c r="J109" s="9" t="n">
        <x:v>1600</x:v>
      </x:c>
      <x:c r="K109" s="9" t="n">
        <x:v>1680</x:v>
      </x:c>
      <x:c r="L109" s="9" t="n">
        <x:f>ROUND(H109*I109,2)</x:f>
        <x:v>8000</x:v>
      </x:c>
      <x:c r="M109" s="9" t="n">
        <x:f>L109-J109</x:f>
        <x:v>6400</x:v>
      </x:c>
      <x:c r="N109" s="4" t="n">
        <x:f>IF(COUNTIFS($B$7:B109,B109)=1,1,0)</x:f>
        <x:v>0</x:v>
      </x:c>
    </x:row>
    <x:row r="110" ht="22" customHeight="1">
      <x:c r="A110" s="4" t="str">
        <x:v>L2025-017423</x:v>
      </x:c>
      <x:c r="B110" s="4" t="str">
        <x:v>O2025-06970</x:v>
      </x:c>
      <x:c r="C110" s="14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5" t="n">
        <x:v>4</x:v>
      </x:c>
      <x:c r="I110" s="9" t="n">
        <x:v>3750</x:v>
      </x:c>
      <x:c r="J110" s="9" t="n">
        <x:v>750</x:v>
      </x:c>
      <x:c r="K110" s="9" t="n">
        <x:v>3150</x:v>
      </x:c>
      <x:c r="L110" s="9" t="n">
        <x:f>ROUND(H110*I110,2)</x:f>
        <x:v>15000</x:v>
      </x:c>
      <x:c r="M110" s="9" t="n">
        <x:f>L110-J110</x:f>
        <x:v>14250</x:v>
      </x:c>
      <x:c r="N110" s="4" t="n">
        <x:f>IF(COUNTIFS($B$7:B110,B110)=1,1,0)</x:f>
        <x:v>1</x:v>
      </x:c>
    </x:row>
    <x:row r="111" ht="22" customHeight="1">
      <x:c r="A111" s="4" t="str">
        <x:v>L2025-017424</x:v>
      </x:c>
      <x:c r="B111" s="4" t="str">
        <x:v>O2025-06970</x:v>
      </x:c>
      <x:c r="C111" s="14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5" t="n">
        <x:v>1</x:v>
      </x:c>
      <x:c r="I111" s="9" t="n">
        <x:v>448</x:v>
      </x:c>
      <x:c r="J111" s="9" t="n">
        <x:v>44.8</x:v>
      </x:c>
      <x:c r="K111" s="9" t="n">
        <x:v>286.72</x:v>
      </x:c>
      <x:c r="L111" s="9" t="n">
        <x:f>ROUND(H111*I111,2)</x:f>
        <x:v>448</x:v>
      </x:c>
      <x:c r="M111" s="9" t="n">
        <x:f>L111-J111</x:f>
        <x:v>403.2</x:v>
      </x:c>
      <x:c r="N111" s="4" t="n">
        <x:f>IF(COUNTIFS($B$7:B111,B111)=1,1,0)</x:f>
        <x:v>0</x:v>
      </x:c>
    </x:row>
    <x:row r="112" ht="22" customHeight="1">
      <x:c r="A112" s="4" t="str">
        <x:v>L2025-017425</x:v>
      </x:c>
      <x:c r="B112" s="4" t="str">
        <x:v>O2025-06970</x:v>
      </x:c>
      <x:c r="C112" s="14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5" t="n">
        <x:v>2</x:v>
      </x:c>
      <x:c r="I112" s="9" t="n">
        <x:v>2750</x:v>
      </x:c>
      <x:c r="J112" s="9" t="n">
        <x:v>550</x:v>
      </x:c>
      <x:c r="K112" s="9" t="n">
        <x:v>2310</x:v>
      </x:c>
      <x:c r="L112" s="9" t="n">
        <x:f>ROUND(H112*I112,2)</x:f>
        <x:v>5500</x:v>
      </x:c>
      <x:c r="M112" s="9" t="n">
        <x:f>L112-J112</x:f>
        <x:v>4950</x:v>
      </x:c>
      <x:c r="N112" s="4" t="n">
        <x:f>IF(COUNTIFS($B$7:B112,B112)=1,1,0)</x:f>
        <x:v>0</x:v>
      </x:c>
    </x:row>
    <x:row r="113" ht="22" customHeight="1">
      <x:c r="A113" s="4" t="str">
        <x:v>L2025-017428</x:v>
      </x:c>
      <x:c r="B113" s="4" t="str">
        <x:v>O2025-06972</x:v>
      </x:c>
      <x:c r="C113" s="14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5" t="n">
        <x:v>3</x:v>
      </x:c>
      <x:c r="I113" s="9" t="n">
        <x:v>2500</x:v>
      </x:c>
      <x:c r="J113" s="9" t="n">
        <x:v>1500</x:v>
      </x:c>
      <x:c r="K113" s="9" t="n">
        <x:v>2100</x:v>
      </x:c>
      <x:c r="L113" s="9" t="n">
        <x:f>ROUND(H113*I113,2)</x:f>
        <x:v>7500</x:v>
      </x:c>
      <x:c r="M113" s="9" t="n">
        <x:f>L113-J113</x:f>
        <x:v>6000</x:v>
      </x:c>
      <x:c r="N113" s="4" t="n">
        <x:f>IF(COUNTIFS($B$7:B113,B113)=1,1,0)</x:f>
        <x:v>1</x:v>
      </x:c>
    </x:row>
    <x:row r="114" ht="22" customHeight="1">
      <x:c r="A114" s="4" t="str">
        <x:v>L2025-017429</x:v>
      </x:c>
      <x:c r="B114" s="4" t="str">
        <x:v>O2025-06972</x:v>
      </x:c>
      <x:c r="C114" s="14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5" t="n">
        <x:v>3</x:v>
      </x:c>
      <x:c r="I114" s="9" t="n">
        <x:v>392</x:v>
      </x:c>
      <x:c r="J114" s="9" t="n">
        <x:v>235.2</x:v>
      </x:c>
      <x:c r="K114" s="9" t="n">
        <x:v>250.88</x:v>
      </x:c>
      <x:c r="L114" s="9" t="n">
        <x:f>ROUND(H114*I114,2)</x:f>
        <x:v>1176</x:v>
      </x:c>
      <x:c r="M114" s="9" t="n">
        <x:f>L114-J114</x:f>
        <x:v>940.8</x:v>
      </x:c>
      <x:c r="N114" s="4" t="n">
        <x:f>IF(COUNTIFS($B$7:B114,B114)=1,1,0)</x:f>
        <x:v>0</x:v>
      </x:c>
    </x:row>
    <x:row r="115" ht="22" customHeight="1">
      <x:c r="A115" s="4" t="str">
        <x:v>L2025-017430</x:v>
      </x:c>
      <x:c r="B115" s="4" t="str">
        <x:v>O2025-06972</x:v>
      </x:c>
      <x:c r="C115" s="14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5" t="n">
        <x:v>4</x:v>
      </x:c>
      <x:c r="I115" s="9" t="n">
        <x:v>312</x:v>
      </x:c>
      <x:c r="J115" s="9" t="n">
        <x:v>0</x:v>
      </x:c>
      <x:c r="K115" s="9" t="n">
        <x:v>193.44</x:v>
      </x:c>
      <x:c r="L115" s="9" t="n">
        <x:f>ROUND(H115*I115,2)</x:f>
        <x:v>1248</x:v>
      </x:c>
      <x:c r="M115" s="9" t="n">
        <x:f>L115-J115</x:f>
        <x:v>1248</x:v>
      </x:c>
      <x:c r="N115" s="4" t="n">
        <x:f>IF(COUNTIFS($B$7:B115,B115)=1,1,0)</x:f>
        <x:v>0</x:v>
      </x:c>
    </x:row>
    <x:row r="116" ht="22" customHeight="1">
      <x:c r="A116" s="4" t="str">
        <x:v>L2025-017933</x:v>
      </x:c>
      <x:c r="B116" s="4" t="str">
        <x:v>O2025-07174</x:v>
      </x:c>
      <x:c r="C116" s="14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5" t="n">
        <x:v>3</x:v>
      </x:c>
      <x:c r="I116" s="9" t="n">
        <x:v>288</x:v>
      </x:c>
      <x:c r="J116" s="9" t="n">
        <x:v>86.4</x:v>
      </x:c>
      <x:c r="K116" s="9" t="n">
        <x:v>172.8</x:v>
      </x:c>
      <x:c r="L116" s="9" t="n">
        <x:f>ROUND(H116*I116,2)</x:f>
        <x:v>864</x:v>
      </x:c>
      <x:c r="M116" s="9" t="n">
        <x:f>L116-J116</x:f>
        <x:v>777.6</x:v>
      </x:c>
      <x:c r="N116" s="4" t="n">
        <x:f>IF(COUNTIFS($B$7:B116,B116)=1,1,0)</x:f>
        <x:v>1</x:v>
      </x:c>
    </x:row>
    <x:row r="117" ht="22" customHeight="1">
      <x:c r="A117" s="4" t="str">
        <x:v>L2025-017934</x:v>
      </x:c>
      <x:c r="B117" s="4" t="str">
        <x:v>O2025-07174</x:v>
      </x:c>
      <x:c r="C117" s="14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5" t="n">
        <x:v>1</x:v>
      </x:c>
      <x:c r="I117" s="9" t="n">
        <x:v>364</x:v>
      </x:c>
      <x:c r="J117" s="9" t="n">
        <x:v>36.4</x:v>
      </x:c>
      <x:c r="K117" s="9" t="n">
        <x:v>232.96</x:v>
      </x:c>
      <x:c r="L117" s="9" t="n">
        <x:f>ROUND(H117*I117,2)</x:f>
        <x:v>364</x:v>
      </x:c>
      <x:c r="M117" s="9" t="n">
        <x:f>L117-J117</x:f>
        <x:v>327.6</x:v>
      </x:c>
      <x:c r="N117" s="4" t="n">
        <x:f>IF(COUNTIFS($B$7:B117,B117)=1,1,0)</x:f>
        <x:v>0</x:v>
      </x:c>
    </x:row>
    <x:row r="118" ht="22" customHeight="1">
      <x:c r="A118" s="4" t="str">
        <x:v>L2025-017935</x:v>
      </x:c>
      <x:c r="B118" s="4" t="str">
        <x:v>O2025-07174</x:v>
      </x:c>
      <x:c r="C118" s="14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5" t="n">
        <x:v>4</x:v>
      </x:c>
      <x:c r="I118" s="9" t="n">
        <x:v>420</x:v>
      </x:c>
      <x:c r="J118" s="9" t="n">
        <x:v>0</x:v>
      </x:c>
      <x:c r="K118" s="9" t="n">
        <x:v>268.8</x:v>
      </x:c>
      <x:c r="L118" s="9" t="n">
        <x:f>ROUND(H118*I118,2)</x:f>
        <x:v>1680</x:v>
      </x:c>
      <x:c r="M118" s="9" t="n">
        <x:f>L118-J118</x:f>
        <x:v>1680</x:v>
      </x:c>
      <x:c r="N118" s="4" t="n">
        <x:f>IF(COUNTIFS($B$7:B118,B118)=1,1,0)</x:f>
        <x:v>0</x:v>
      </x:c>
    </x:row>
    <x:row r="119" ht="22" customHeight="1">
      <x:c r="A119" s="4" t="str">
        <x:v>L2025-018443</x:v>
      </x:c>
      <x:c r="B119" s="4" t="str">
        <x:v>O2025-07378</x:v>
      </x:c>
      <x:c r="C119" s="14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5" t="n">
        <x:v>5</x:v>
      </x:c>
      <x:c r="I119" s="9" t="n">
        <x:v>308</x:v>
      </x:c>
      <x:c r="J119" s="9" t="n">
        <x:v>231</x:v>
      </x:c>
      <x:c r="K119" s="9" t="n">
        <x:v>197.12</x:v>
      </x:c>
      <x:c r="L119" s="9" t="n">
        <x:f>ROUND(H119*I119,2)</x:f>
        <x:v>1540</x:v>
      </x:c>
      <x:c r="M119" s="9" t="n">
        <x:f>L119-J119</x:f>
        <x:v>1309</x:v>
      </x:c>
      <x:c r="N119" s="4" t="n">
        <x:f>IF(COUNTIFS($B$7:B119,B119)=1,1,0)</x:f>
        <x:v>1</x:v>
      </x:c>
    </x:row>
    <x:row r="120" ht="22" customHeight="1">
      <x:c r="A120" s="4" t="str">
        <x:v>L2025-018444</x:v>
      </x:c>
      <x:c r="B120" s="4" t="str">
        <x:v>O2025-07378</x:v>
      </x:c>
      <x:c r="C120" s="14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5" t="n">
        <x:v>3</x:v>
      </x:c>
      <x:c r="I120" s="9" t="n">
        <x:v>224</x:v>
      </x:c>
      <x:c r="J120" s="9" t="n">
        <x:v>33.6</x:v>
      </x:c>
      <x:c r="K120" s="9" t="n">
        <x:v>143.36</x:v>
      </x:c>
      <x:c r="L120" s="9" t="n">
        <x:f>ROUND(H120*I120,2)</x:f>
        <x:v>672</x:v>
      </x:c>
      <x:c r="M120" s="9" t="n">
        <x:f>L120-J120</x:f>
        <x:v>638.4</x:v>
      </x:c>
      <x:c r="N120" s="4" t="n">
        <x:f>IF(COUNTIFS($B$7:B120,B120)=1,1,0)</x:f>
        <x:v>0</x:v>
      </x:c>
    </x:row>
    <x:row r="121" ht="22" customHeight="1">
      <x:c r="A121" s="4" t="str">
        <x:v>L2025-018445</x:v>
      </x:c>
      <x:c r="B121" s="4" t="str">
        <x:v>O2025-07378</x:v>
      </x:c>
      <x:c r="C121" s="14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5" t="n">
        <x:v>5</x:v>
      </x:c>
      <x:c r="I121" s="9" t="n">
        <x:v>420</x:v>
      </x:c>
      <x:c r="J121" s="9" t="n">
        <x:v>315</x:v>
      </x:c>
      <x:c r="K121" s="9" t="n">
        <x:v>268.8</x:v>
      </x:c>
      <x:c r="L121" s="9" t="n">
        <x:f>ROUND(H121*I121,2)</x:f>
        <x:v>2100</x:v>
      </x:c>
      <x:c r="M121" s="9" t="n">
        <x:f>L121-J121</x:f>
        <x:v>1785</x:v>
      </x:c>
      <x:c r="N121" s="4" t="n">
        <x:f>IF(COUNTIFS($B$7:B121,B121)=1,1,0)</x:f>
        <x:v>0</x:v>
      </x:c>
    </x:row>
    <x:row r="122" ht="22" customHeight="1">
      <x:c r="A122" s="4" t="str">
        <x:v>L2025-018953</x:v>
      </x:c>
      <x:c r="B122" s="4" t="str">
        <x:v>O2025-07582</x:v>
      </x:c>
      <x:c r="C122" s="14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5" t="n">
        <x:v>1</x:v>
      </x:c>
      <x:c r="I122" s="9" t="n">
        <x:v>140</x:v>
      </x:c>
      <x:c r="J122" s="9" t="n">
        <x:v>14</x:v>
      </x:c>
      <x:c r="K122" s="9" t="n">
        <x:v>72.8</x:v>
      </x:c>
      <x:c r="L122" s="9" t="n">
        <x:f>ROUND(H122*I122,2)</x:f>
        <x:v>140</x:v>
      </x:c>
      <x:c r="M122" s="9" t="n">
        <x:f>L122-J122</x:f>
        <x:v>126</x:v>
      </x:c>
      <x:c r="N122" s="4" t="n">
        <x:f>IF(COUNTIFS($B$7:B122,B122)=1,1,0)</x:f>
        <x:v>1</x:v>
      </x:c>
    </x:row>
    <x:row r="123" ht="22" customHeight="1">
      <x:c r="A123" s="4" t="str">
        <x:v>L2025-018954</x:v>
      </x:c>
      <x:c r="B123" s="4" t="str">
        <x:v>O2025-07582</x:v>
      </x:c>
      <x:c r="C123" s="14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5" t="n">
        <x:v>1</x:v>
      </x:c>
      <x:c r="I123" s="9" t="n">
        <x:v>1250</x:v>
      </x:c>
      <x:c r="J123" s="9" t="n">
        <x:v>62.5</x:v>
      </x:c>
      <x:c r="K123" s="9" t="n">
        <x:v>1050</x:v>
      </x:c>
      <x:c r="L123" s="9" t="n">
        <x:f>ROUND(H123*I123,2)</x:f>
        <x:v>1250</x:v>
      </x:c>
      <x:c r="M123" s="9" t="n">
        <x:f>L123-J123</x:f>
        <x:v>1187.5</x:v>
      </x:c>
      <x:c r="N123" s="4" t="n">
        <x:f>IF(COUNTIFS($B$7:B123,B123)=1,1,0)</x:f>
        <x:v>0</x:v>
      </x:c>
    </x:row>
    <x:row r="124" ht="22" customHeight="1">
      <x:c r="A124" s="4" t="str">
        <x:v>L2025-018955</x:v>
      </x:c>
      <x:c r="B124" s="4" t="str">
        <x:v>O2025-07582</x:v>
      </x:c>
      <x:c r="C124" s="14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5" t="n">
        <x:v>3</x:v>
      </x:c>
      <x:c r="I124" s="9" t="n">
        <x:v>70</x:v>
      </x:c>
      <x:c r="J124" s="9" t="n">
        <x:v>0</x:v>
      </x:c>
      <x:c r="K124" s="9" t="n">
        <x:v>36.4</x:v>
      </x:c>
      <x:c r="L124" s="9" t="n">
        <x:f>ROUND(H124*I124,2)</x:f>
        <x:v>210</x:v>
      </x:c>
      <x:c r="M124" s="9" t="n">
        <x:f>L124-J124</x:f>
        <x:v>210</x:v>
      </x:c>
      <x:c r="N124" s="4" t="n">
        <x:f>IF(COUNTIFS($B$7:B124,B124)=1,1,0)</x:f>
        <x:v>0</x:v>
      </x:c>
    </x:row>
    <x:row r="125" ht="22" customHeight="1">
      <x:c r="A125" s="4" t="str">
        <x:v>L2025-019463</x:v>
      </x:c>
      <x:c r="B125" s="4" t="str">
        <x:v>O2025-07786</x:v>
      </x:c>
      <x:c r="C125" s="14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5" t="n">
        <x:v>3</x:v>
      </x:c>
      <x:c r="I125" s="9" t="n">
        <x:v>144</x:v>
      </x:c>
      <x:c r="J125" s="9" t="n">
        <x:v>64.8</x:v>
      </x:c>
      <x:c r="K125" s="9" t="n">
        <x:v>89.28</x:v>
      </x:c>
      <x:c r="L125" s="9" t="n">
        <x:f>ROUND(H125*I125,2)</x:f>
        <x:v>432</x:v>
      </x:c>
      <x:c r="M125" s="9" t="n">
        <x:f>L125-J125</x:f>
        <x:v>367.2</x:v>
      </x:c>
      <x:c r="N125" s="4" t="n">
        <x:f>IF(COUNTIFS($B$7:B125,B125)=1,1,0)</x:f>
        <x:v>1</x:v>
      </x:c>
    </x:row>
    <x:row r="126" ht="22" customHeight="1">
      <x:c r="A126" s="4" t="str">
        <x:v>L2025-019464</x:v>
      </x:c>
      <x:c r="B126" s="4" t="str">
        <x:v>O2025-07786</x:v>
      </x:c>
      <x:c r="C126" s="14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5" t="n">
        <x:v>3</x:v>
      </x:c>
      <x:c r="I126" s="9" t="n">
        <x:v>160</x:v>
      </x:c>
      <x:c r="J126" s="9" t="n">
        <x:v>72</x:v>
      </x:c>
      <x:c r="K126" s="9" t="n">
        <x:v>83.2</x:v>
      </x:c>
      <x:c r="L126" s="9" t="n">
        <x:f>ROUND(H126*I126,2)</x:f>
        <x:v>480</x:v>
      </x:c>
      <x:c r="M126" s="9" t="n">
        <x:f>L126-J126</x:f>
        <x:v>408</x:v>
      </x:c>
      <x:c r="N126" s="4" t="n">
        <x:f>IF(COUNTIFS($B$7:B126,B126)=1,1,0)</x:f>
        <x:v>0</x:v>
      </x:c>
    </x:row>
    <x:row r="127" ht="22" customHeight="1">
      <x:c r="A127" s="4" t="str">
        <x:v>L2025-019465</x:v>
      </x:c>
      <x:c r="B127" s="4" t="str">
        <x:v>O2025-07786</x:v>
      </x:c>
      <x:c r="C127" s="14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5" t="n">
        <x:v>2</x:v>
      </x:c>
      <x:c r="I127" s="9" t="n">
        <x:v>324</x:v>
      </x:c>
      <x:c r="J127" s="9" t="n">
        <x:v>0</x:v>
      </x:c>
      <x:c r="K127" s="9" t="n">
        <x:v>194.4</x:v>
      </x:c>
      <x:c r="L127" s="9" t="n">
        <x:f>ROUND(H127*I127,2)</x:f>
        <x:v>648</x:v>
      </x:c>
      <x:c r="M127" s="9" t="n">
        <x:f>L127-J127</x:f>
        <x:v>648</x:v>
      </x:c>
      <x:c r="N127" s="4" t="n">
        <x:f>IF(COUNTIFS($B$7:B127,B127)=1,1,0)</x:f>
        <x:v>0</x:v>
      </x:c>
    </x:row>
    <x:row r="128" ht="22" customHeight="1">
      <x:c r="A128" s="4" t="str">
        <x:v>L2025-019973</x:v>
      </x:c>
      <x:c r="B128" s="4" t="str">
        <x:v>O2025-07990</x:v>
      </x:c>
      <x:c r="C128" s="14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5" t="n">
        <x:v>1</x:v>
      </x:c>
      <x:c r="I128" s="9" t="n">
        <x:v>196</x:v>
      </x:c>
      <x:c r="J128" s="9" t="n">
        <x:v>39.2</x:v>
      </x:c>
      <x:c r="K128" s="9" t="n">
        <x:v>125.44</x:v>
      </x:c>
      <x:c r="L128" s="9" t="n">
        <x:f>ROUND(H128*I128,2)</x:f>
        <x:v>196</x:v>
      </x:c>
      <x:c r="M128" s="9" t="n">
        <x:f>L128-J128</x:f>
        <x:v>156.8</x:v>
      </x:c>
      <x:c r="N128" s="4" t="n">
        <x:f>IF(COUNTIFS($B$7:B128,B128)=1,1,0)</x:f>
        <x:v>1</x:v>
      </x:c>
    </x:row>
    <x:row r="129" ht="22" customHeight="1">
      <x:c r="A129" s="4" t="str">
        <x:v>L2025-019974</x:v>
      </x:c>
      <x:c r="B129" s="4" t="str">
        <x:v>O2025-07990</x:v>
      </x:c>
      <x:c r="C129" s="14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5" t="n">
        <x:v>1</x:v>
      </x:c>
      <x:c r="I129" s="9" t="n">
        <x:v>120</x:v>
      </x:c>
      <x:c r="J129" s="9" t="n">
        <x:v>12</x:v>
      </x:c>
      <x:c r="K129" s="9" t="n">
        <x:v>74.4</x:v>
      </x:c>
      <x:c r="L129" s="9" t="n">
        <x:f>ROUND(H129*I129,2)</x:f>
        <x:v>120</x:v>
      </x:c>
      <x:c r="M129" s="9" t="n">
        <x:f>L129-J129</x:f>
        <x:v>108</x:v>
      </x:c>
      <x:c r="N129" s="4" t="n">
        <x:f>IF(COUNTIFS($B$7:B129,B129)=1,1,0)</x:f>
        <x:v>0</x:v>
      </x:c>
    </x:row>
    <x:row r="130" ht="22" customHeight="1">
      <x:c r="A130" s="4" t="str">
        <x:v>L2025-019975</x:v>
      </x:c>
      <x:c r="B130" s="4" t="str">
        <x:v>O2025-07990</x:v>
      </x:c>
      <x:c r="C130" s="14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5" t="n">
        <x:v>4</x:v>
      </x:c>
      <x:c r="I130" s="9" t="n">
        <x:v>308</x:v>
      </x:c>
      <x:c r="J130" s="9" t="n">
        <x:v>123.2</x:v>
      </x:c>
      <x:c r="K130" s="9" t="n">
        <x:v>197.12</x:v>
      </x:c>
      <x:c r="L130" s="9" t="n">
        <x:f>ROUND(H130*I130,2)</x:f>
        <x:v>1232</x:v>
      </x:c>
      <x:c r="M130" s="9" t="n">
        <x:f>L130-J130</x:f>
        <x:v>1108.8</x:v>
      </x:c>
      <x:c r="N130" s="4" t="n">
        <x:f>IF(COUNTIFS($B$7:B130,B130)=1,1,0)</x:f>
        <x:v>0</x:v>
      </x:c>
    </x:row>
    <x:row r="131" ht="22" customHeight="1">
      <x:c r="A131" s="4" t="str">
        <x:v>L2025-019976</x:v>
      </x:c>
      <x:c r="B131" s="4" t="str">
        <x:v>O2025-07991</x:v>
      </x:c>
      <x:c r="C131" s="14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5" t="n">
        <x:v>4</x:v>
      </x:c>
      <x:c r="I131" s="9" t="n">
        <x:v>70</x:v>
      </x:c>
      <x:c r="J131" s="9" t="n">
        <x:v>56</x:v>
      </x:c>
      <x:c r="K131" s="9" t="n">
        <x:v>36.4</x:v>
      </x:c>
      <x:c r="L131" s="9" t="n">
        <x:f>ROUND(H131*I131,2)</x:f>
        <x:v>280</x:v>
      </x:c>
      <x:c r="M131" s="9" t="n">
        <x:f>L131-J131</x:f>
        <x:v>224</x:v>
      </x:c>
      <x:c r="N131" s="4" t="n">
        <x:f>IF(COUNTIFS($B$7:B131,B131)=1,1,0)</x:f>
        <x:v>1</x:v>
      </x:c>
    </x:row>
    <x:row r="132" ht="22" customHeight="1">
      <x:c r="A132" s="4" t="str">
        <x:v>L2025-019977</x:v>
      </x:c>
      <x:c r="B132" s="4" t="str">
        <x:v>O2025-07991</x:v>
      </x:c>
      <x:c r="C132" s="14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5" t="n">
        <x:v>2</x:v>
      </x:c>
      <x:c r="I132" s="9" t="n">
        <x:v>3000</x:v>
      </x:c>
      <x:c r="J132" s="9" t="n">
        <x:v>1200</x:v>
      </x:c>
      <x:c r="K132" s="9" t="n">
        <x:v>2520</x:v>
      </x:c>
      <x:c r="L132" s="9" t="n">
        <x:f>ROUND(H132*I132,2)</x:f>
        <x:v>6000</x:v>
      </x:c>
      <x:c r="M132" s="9" t="n">
        <x:f>L132-J132</x:f>
        <x:v>4800</x:v>
      </x:c>
      <x:c r="N132" s="4" t="n">
        <x:f>IF(COUNTIFS($B$7:B132,B132)=1,1,0)</x:f>
        <x:v>0</x:v>
      </x:c>
    </x:row>
    <x:row r="133" ht="22" customHeight="1">
      <x:c r="A133" s="4" t="str">
        <x:v>L2025-020468</x:v>
      </x:c>
      <x:c r="B133" s="4" t="str">
        <x:v>O2025-08188</x:v>
      </x:c>
      <x:c r="C133" s="14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5" t="n">
        <x:v>1</x:v>
      </x:c>
      <x:c r="I133" s="9" t="n">
        <x:v>288</x:v>
      </x:c>
      <x:c r="J133" s="9" t="n">
        <x:v>28.8</x:v>
      </x:c>
      <x:c r="K133" s="9" t="n">
        <x:v>178.56</x:v>
      </x:c>
      <x:c r="L133" s="9" t="n">
        <x:f>ROUND(H133*I133,2)</x:f>
        <x:v>288</x:v>
      </x:c>
      <x:c r="M133" s="9" t="n">
        <x:f>L133-J133</x:f>
        <x:v>259.2</x:v>
      </x:c>
      <x:c r="N133" s="4" t="n">
        <x:f>IF(COUNTIFS($B$7:B133,B133)=1,1,0)</x:f>
        <x:v>1</x:v>
      </x:c>
    </x:row>
    <x:row r="134" ht="22" customHeight="1">
      <x:c r="A134" s="4" t="str">
        <x:v>L2025-020469</x:v>
      </x:c>
      <x:c r="B134" s="4" t="str">
        <x:v>O2025-08188</x:v>
      </x:c>
      <x:c r="C134" s="14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5" t="n">
        <x:v>2</x:v>
      </x:c>
      <x:c r="I134" s="9" t="n">
        <x:v>168</x:v>
      </x:c>
      <x:c r="J134" s="9" t="n">
        <x:v>67.2</x:v>
      </x:c>
      <x:c r="K134" s="9" t="n">
        <x:v>104.16</x:v>
      </x:c>
      <x:c r="L134" s="9" t="n">
        <x:f>ROUND(H134*I134,2)</x:f>
        <x:v>336</x:v>
      </x:c>
      <x:c r="M134" s="9" t="n">
        <x:f>L134-J134</x:f>
        <x:v>268.8</x:v>
      </x:c>
      <x:c r="N134" s="4" t="n">
        <x:f>IF(COUNTIFS($B$7:B134,B134)=1,1,0)</x:f>
        <x:v>0</x:v>
      </x:c>
    </x:row>
    <x:row r="135" ht="22" customHeight="1">
      <x:c r="A135" s="4" t="str">
        <x:v>L2025-020470</x:v>
      </x:c>
      <x:c r="B135" s="4" t="str">
        <x:v>O2025-08188</x:v>
      </x:c>
      <x:c r="C135" s="14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5" t="n">
        <x:v>2</x:v>
      </x:c>
      <x:c r="I135" s="9" t="n">
        <x:v>324</x:v>
      </x:c>
      <x:c r="J135" s="9" t="n">
        <x:v>129.6</x:v>
      </x:c>
      <x:c r="K135" s="9" t="n">
        <x:v>194.4</x:v>
      </x:c>
      <x:c r="L135" s="9" t="n">
        <x:f>ROUND(H135*I135,2)</x:f>
        <x:v>648</x:v>
      </x:c>
      <x:c r="M135" s="9" t="n">
        <x:f>L135-J135</x:f>
        <x:v>518.4</x:v>
      </x:c>
      <x:c r="N135" s="4" t="n">
        <x:f>IF(COUNTIFS($B$7:B135,B135)=1,1,0)</x:f>
        <x:v>0</x:v>
      </x:c>
    </x:row>
    <x:row r="136" ht="22" customHeight="1">
      <x:c r="A136" s="4" t="str">
        <x:v>L2025-020961</x:v>
      </x:c>
      <x:c r="B136" s="4" t="str">
        <x:v>O2025-08385</x:v>
      </x:c>
      <x:c r="C136" s="14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5" t="n">
        <x:v>4</x:v>
      </x:c>
      <x:c r="I136" s="9" t="n">
        <x:v>224</x:v>
      </x:c>
      <x:c r="J136" s="9" t="n">
        <x:v>134.4</x:v>
      </x:c>
      <x:c r="K136" s="9" t="n">
        <x:v>143.36</x:v>
      </x:c>
      <x:c r="L136" s="9" t="n">
        <x:f>ROUND(H136*I136,2)</x:f>
        <x:v>896</x:v>
      </x:c>
      <x:c r="M136" s="9" t="n">
        <x:f>L136-J136</x:f>
        <x:v>761.6</x:v>
      </x:c>
      <x:c r="N136" s="4" t="n">
        <x:f>IF(COUNTIFS($B$7:B136,B136)=1,1,0)</x:f>
        <x:v>1</x:v>
      </x:c>
    </x:row>
    <x:row r="137" ht="22" customHeight="1">
      <x:c r="A137" s="4" t="str">
        <x:v>L2025-020962</x:v>
      </x:c>
      <x:c r="B137" s="4" t="str">
        <x:v>O2025-08385</x:v>
      </x:c>
      <x:c r="C137" s="14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5" t="n">
        <x:v>4</x:v>
      </x:c>
      <x:c r="I137" s="9" t="n">
        <x:v>2000</x:v>
      </x:c>
      <x:c r="J137" s="9" t="n">
        <x:v>0</x:v>
      </x:c>
      <x:c r="K137" s="9" t="n">
        <x:v>1680</x:v>
      </x:c>
      <x:c r="L137" s="9" t="n">
        <x:f>ROUND(H137*I137,2)</x:f>
        <x:v>8000</x:v>
      </x:c>
      <x:c r="M137" s="9" t="n">
        <x:f>L137-J137</x:f>
        <x:v>8000</x:v>
      </x:c>
      <x:c r="N137" s="4" t="n">
        <x:f>IF(COUNTIFS($B$7:B137,B137)=1,1,0)</x:f>
        <x:v>0</x:v>
      </x:c>
    </x:row>
    <x:row r="138" ht="22" customHeight="1">
      <x:c r="A138" s="4" t="str">
        <x:v>L2025-021453</x:v>
      </x:c>
      <x:c r="B138" s="4" t="str">
        <x:v>O2025-08582</x:v>
      </x:c>
      <x:c r="C138" s="14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5" t="n">
        <x:v>2</x:v>
      </x:c>
      <x:c r="I138" s="9" t="n">
        <x:v>576</x:v>
      </x:c>
      <x:c r="J138" s="9" t="n">
        <x:v>0</x:v>
      </x:c>
      <x:c r="K138" s="9" t="n">
        <x:v>345.6</x:v>
      </x:c>
      <x:c r="L138" s="9" t="n">
        <x:f>ROUND(H138*I138,2)</x:f>
        <x:v>1152</x:v>
      </x:c>
      <x:c r="M138" s="9" t="n">
        <x:f>L138-J138</x:f>
        <x:v>1152</x:v>
      </x:c>
      <x:c r="N138" s="4" t="n">
        <x:f>IF(COUNTIFS($B$7:B138,B138)=1,1,0)</x:f>
        <x:v>1</x:v>
      </x:c>
    </x:row>
    <x:row r="139" ht="22" customHeight="1">
      <x:c r="A139" s="4" t="str">
        <x:v>L2025-021454</x:v>
      </x:c>
      <x:c r="B139" s="4" t="str">
        <x:v>O2025-08582</x:v>
      </x:c>
      <x:c r="C139" s="14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5" t="n">
        <x:v>4</x:v>
      </x:c>
      <x:c r="I139" s="9" t="n">
        <x:v>90</x:v>
      </x:c>
      <x:c r="J139" s="9" t="n">
        <x:v>0</x:v>
      </x:c>
      <x:c r="K139" s="9" t="n">
        <x:v>46.8</x:v>
      </x:c>
      <x:c r="L139" s="9" t="n">
        <x:f>ROUND(H139*I139,2)</x:f>
        <x:v>360</x:v>
      </x:c>
      <x:c r="M139" s="9" t="n">
        <x:f>L139-J139</x:f>
        <x:v>360</x:v>
      </x:c>
      <x:c r="N139" s="4" t="n">
        <x:f>IF(COUNTIFS($B$7:B139,B139)=1,1,0)</x:f>
        <x:v>0</x:v>
      </x:c>
    </x:row>
    <x:row r="140" ht="22" customHeight="1">
      <x:c r="A140" s="4" t="str">
        <x:v>L2025-021455</x:v>
      </x:c>
      <x:c r="B140" s="4" t="str">
        <x:v>O2025-08582</x:v>
      </x:c>
      <x:c r="C140" s="14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5" t="n">
        <x:v>1</x:v>
      </x:c>
      <x:c r="I140" s="9" t="n">
        <x:v>2000</x:v>
      </x:c>
      <x:c r="J140" s="9" t="n">
        <x:v>100</x:v>
      </x:c>
      <x:c r="K140" s="9" t="n">
        <x:v>1680</x:v>
      </x:c>
      <x:c r="L140" s="9" t="n">
        <x:f>ROUND(H140*I140,2)</x:f>
        <x:v>2000</x:v>
      </x:c>
      <x:c r="M140" s="9" t="n">
        <x:f>L140-J140</x:f>
        <x:v>1900</x:v>
      </x:c>
      <x:c r="N140" s="4" t="n">
        <x:f>IF(COUNTIFS($B$7:B140,B140)=1,1,0)</x:f>
        <x:v>0</x:v>
      </x:c>
    </x:row>
    <x:row r="141" ht="22" customHeight="1">
      <x:c r="A141" s="4" t="str">
        <x:v>L2025-021946</x:v>
      </x:c>
      <x:c r="B141" s="4" t="str">
        <x:v>O2025-08779</x:v>
      </x:c>
      <x:c r="C141" s="14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5" t="n">
        <x:v>4</x:v>
      </x:c>
      <x:c r="I141" s="9" t="n">
        <x:v>3000</x:v>
      </x:c>
      <x:c r="J141" s="9" t="n">
        <x:v>0</x:v>
      </x:c>
      <x:c r="K141" s="9" t="n">
        <x:v>2520</x:v>
      </x:c>
      <x:c r="L141" s="9" t="n">
        <x:f>ROUND(H141*I141,2)</x:f>
        <x:v>12000</x:v>
      </x:c>
      <x:c r="M141" s="9" t="n">
        <x:f>L141-J141</x:f>
        <x:v>12000</x:v>
      </x:c>
      <x:c r="N141" s="4" t="n">
        <x:f>IF(COUNTIFS($B$7:B141,B141)=1,1,0)</x:f>
        <x:v>1</x:v>
      </x:c>
    </x:row>
    <x:row r="142" ht="22" customHeight="1">
      <x:c r="A142" s="4" t="str">
        <x:v>L2025-021947</x:v>
      </x:c>
      <x:c r="B142" s="4" t="str">
        <x:v>O2025-08779</x:v>
      </x:c>
      <x:c r="C142" s="14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5" t="n">
        <x:v>1</x:v>
      </x:c>
      <x:c r="I142" s="9" t="n">
        <x:v>140</x:v>
      </x:c>
      <x:c r="J142" s="9" t="n">
        <x:v>14</x:v>
      </x:c>
      <x:c r="K142" s="9" t="n">
        <x:v>89.6</x:v>
      </x:c>
      <x:c r="L142" s="9" t="n">
        <x:f>ROUND(H142*I142,2)</x:f>
        <x:v>140</x:v>
      </x:c>
      <x:c r="M142" s="9" t="n">
        <x:f>L142-J142</x:f>
        <x:v>126</x:v>
      </x:c>
      <x:c r="N142" s="4" t="n">
        <x:f>IF(COUNTIFS($B$7:B142,B142)=1,1,0)</x:f>
        <x:v>0</x:v>
      </x:c>
    </x:row>
    <x:row r="143" ht="22" customHeight="1">
      <x:c r="A143" s="4" t="str">
        <x:v>L2025-022438</x:v>
      </x:c>
      <x:c r="B143" s="4" t="str">
        <x:v>O2025-08976</x:v>
      </x:c>
      <x:c r="C143" s="14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5" t="n">
        <x:v>3</x:v>
      </x:c>
      <x:c r="I143" s="9" t="n">
        <x:v>144</x:v>
      </x:c>
      <x:c r="J143" s="9" t="n">
        <x:v>21.6</x:v>
      </x:c>
      <x:c r="K143" s="9" t="n">
        <x:v>89.28</x:v>
      </x:c>
      <x:c r="L143" s="9" t="n">
        <x:f>ROUND(H143*I143,2)</x:f>
        <x:v>432</x:v>
      </x:c>
      <x:c r="M143" s="9" t="n">
        <x:f>L143-J143</x:f>
        <x:v>410.4</x:v>
      </x:c>
      <x:c r="N143" s="4" t="n">
        <x:f>IF(COUNTIFS($B$7:B143,B143)=1,1,0)</x:f>
        <x:v>1</x:v>
      </x:c>
    </x:row>
    <x:row r="144" ht="22" customHeight="1">
      <x:c r="A144" s="4" t="str">
        <x:v>L2025-022439</x:v>
      </x:c>
      <x:c r="B144" s="4" t="str">
        <x:v>O2025-08976</x:v>
      </x:c>
      <x:c r="C144" s="14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5" t="n">
        <x:v>5</x:v>
      </x:c>
      <x:c r="I144" s="9" t="n">
        <x:v>2250</x:v>
      </x:c>
      <x:c r="J144" s="9" t="n">
        <x:v>562.5</x:v>
      </x:c>
      <x:c r="K144" s="9" t="n">
        <x:v>1890</x:v>
      </x:c>
      <x:c r="L144" s="9" t="n">
        <x:f>ROUND(H144*I144,2)</x:f>
        <x:v>11250</x:v>
      </x:c>
      <x:c r="M144" s="9" t="n">
        <x:f>L144-J144</x:f>
        <x:v>10687.5</x:v>
      </x:c>
      <x:c r="N144" s="4" t="n">
        <x:f>IF(COUNTIFS($B$7:B144,B144)=1,1,0)</x:f>
        <x:v>0</x:v>
      </x:c>
    </x:row>
    <x:row r="145" ht="22" customHeight="1">
      <x:c r="A145" s="4" t="str">
        <x:v>L2025-022440</x:v>
      </x:c>
      <x:c r="B145" s="4" t="str">
        <x:v>O2025-08976</x:v>
      </x:c>
      <x:c r="C145" s="14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5" t="n">
        <x:v>2</x:v>
      </x:c>
      <x:c r="I145" s="9" t="n">
        <x:v>168</x:v>
      </x:c>
      <x:c r="J145" s="9" t="n">
        <x:v>16.8</x:v>
      </x:c>
      <x:c r="K145" s="9" t="n">
        <x:v>107.52</x:v>
      </x:c>
      <x:c r="L145" s="9" t="n">
        <x:f>ROUND(H145*I145,2)</x:f>
        <x:v>336</x:v>
      </x:c>
      <x:c r="M145" s="9" t="n">
        <x:f>L145-J145</x:f>
        <x:v>319.2</x:v>
      </x:c>
      <x:c r="N145" s="4" t="n">
        <x:f>IF(COUNTIFS($B$7:B145,B145)=1,1,0)</x:f>
        <x:v>0</x:v>
      </x:c>
    </x:row>
    <x:row r="146" ht="22" customHeight="1">
      <x:c r="A146" s="4" t="str">
        <x:v>L2025-022441</x:v>
      </x:c>
      <x:c r="B146" s="4" t="str">
        <x:v>O2025-08977</x:v>
      </x:c>
      <x:c r="C146" s="14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5" t="n">
        <x:v>2</x:v>
      </x:c>
      <x:c r="I146" s="9" t="n">
        <x:v>3000</x:v>
      </x:c>
      <x:c r="J146" s="9" t="n">
        <x:v>1800</x:v>
      </x:c>
      <x:c r="K146" s="9" t="n">
        <x:v>2520</x:v>
      </x:c>
      <x:c r="L146" s="9" t="n">
        <x:f>ROUND(H146*I146,2)</x:f>
        <x:v>6000</x:v>
      </x:c>
      <x:c r="M146" s="9" t="n">
        <x:f>L146-J146</x:f>
        <x:v>4200</x:v>
      </x:c>
      <x:c r="N146" s="4" t="n">
        <x:f>IF(COUNTIFS($B$7:B146,B146)=1,1,0)</x:f>
        <x:v>1</x:v>
      </x:c>
    </x:row>
    <x:row r="147" ht="22" customHeight="1">
      <x:c r="A147" s="4" t="str">
        <x:v>L2025-022442</x:v>
      </x:c>
      <x:c r="B147" s="4" t="str">
        <x:v>O2025-08977</x:v>
      </x:c>
      <x:c r="C147" s="14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5" t="n">
        <x:v>5</x:v>
      </x:c>
      <x:c r="I147" s="9" t="n">
        <x:v>140</x:v>
      </x:c>
      <x:c r="J147" s="9" t="n">
        <x:v>105</x:v>
      </x:c>
      <x:c r="K147" s="9" t="n">
        <x:v>72.8</x:v>
      </x:c>
      <x:c r="L147" s="9" t="n">
        <x:f>ROUND(H147*I147,2)</x:f>
        <x:v>700</x:v>
      </x:c>
      <x:c r="M147" s="9" t="n">
        <x:f>L147-J147</x:f>
        <x:v>595</x:v>
      </x:c>
      <x:c r="N147" s="4" t="n">
        <x:f>IF(COUNTIFS($B$7:B147,B147)=1,1,0)</x:f>
        <x:v>0</x:v>
      </x:c>
    </x:row>
    <x:row r="148" ht="22" customHeight="1">
      <x:c r="A148" s="4" t="str">
        <x:v>L2025-022948</x:v>
      </x:c>
      <x:c r="B148" s="4" t="str">
        <x:v>O2025-09180</x:v>
      </x:c>
      <x:c r="C148" s="14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5" t="n">
        <x:v>2</x:v>
      </x:c>
      <x:c r="I148" s="9" t="n">
        <x:v>1500</x:v>
      </x:c>
      <x:c r="J148" s="9" t="n">
        <x:v>900</x:v>
      </x:c>
      <x:c r="K148" s="9" t="n">
        <x:v>1260</x:v>
      </x:c>
      <x:c r="L148" s="9" t="n">
        <x:f>ROUND(H148*I148,2)</x:f>
        <x:v>3000</x:v>
      </x:c>
      <x:c r="M148" s="9" t="n">
        <x:f>L148-J148</x:f>
        <x:v>2100</x:v>
      </x:c>
      <x:c r="N148" s="4" t="n">
        <x:f>IF(COUNTIFS($B$7:B148,B148)=1,1,0)</x:f>
        <x:v>1</x:v>
      </x:c>
    </x:row>
    <x:row r="149" ht="22" customHeight="1">
      <x:c r="A149" s="4" t="str">
        <x:v>L2025-022949</x:v>
      </x:c>
      <x:c r="B149" s="4" t="str">
        <x:v>O2025-09180</x:v>
      </x:c>
      <x:c r="C149" s="14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5" t="n">
        <x:v>1</x:v>
      </x:c>
      <x:c r="I149" s="9" t="n">
        <x:v>196</x:v>
      </x:c>
      <x:c r="J149" s="9" t="n">
        <x:v>19.6</x:v>
      </x:c>
      <x:c r="K149" s="9" t="n">
        <x:v>125.44</x:v>
      </x:c>
      <x:c r="L149" s="9" t="n">
        <x:f>ROUND(H149*I149,2)</x:f>
        <x:v>196</x:v>
      </x:c>
      <x:c r="M149" s="9" t="n">
        <x:f>L149-J149</x:f>
        <x:v>176.4</x:v>
      </x:c>
      <x:c r="N149" s="4" t="n">
        <x:f>IF(COUNTIFS($B$7:B149,B149)=1,1,0)</x:f>
        <x:v>0</x:v>
      </x:c>
    </x:row>
    <x:row r="150" ht="22" customHeight="1">
      <x:c r="A150" s="4" t="str">
        <x:v>L2025-022950</x:v>
      </x:c>
      <x:c r="B150" s="4" t="str">
        <x:v>O2025-09180</x:v>
      </x:c>
      <x:c r="C150" s="14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5" t="n">
        <x:v>1</x:v>
      </x:c>
      <x:c r="I150" s="9" t="n">
        <x:v>4000</x:v>
      </x:c>
      <x:c r="J150" s="9" t="n">
        <x:v>600</x:v>
      </x:c>
      <x:c r="K150" s="9" t="n">
        <x:v>3360</x:v>
      </x:c>
      <x:c r="L150" s="9" t="n">
        <x:f>ROUND(H150*I150,2)</x:f>
        <x:v>4000</x:v>
      </x:c>
      <x:c r="M150" s="9" t="n">
        <x:f>L150-J150</x:f>
        <x:v>3400</x:v>
      </x:c>
      <x:c r="N150" s="4" t="n">
        <x:f>IF(COUNTIFS($B$7:B150,B150)=1,1,0)</x:f>
        <x:v>0</x:v>
      </x:c>
    </x:row>
    <x:row r="151" ht="22" customHeight="1">
      <x:c r="A151" s="4" t="str">
        <x:v>L2025-023458</x:v>
      </x:c>
      <x:c r="B151" s="4" t="str">
        <x:v>O2025-09384</x:v>
      </x:c>
      <x:c r="C151" s="14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5" t="n">
        <x:v>4</x:v>
      </x:c>
      <x:c r="I151" s="9" t="n">
        <x:v>280</x:v>
      </x:c>
      <x:c r="J151" s="9" t="n">
        <x:v>280</x:v>
      </x:c>
      <x:c r="K151" s="9" t="n">
        <x:v>179.2</x:v>
      </x:c>
      <x:c r="L151" s="9" t="n">
        <x:f>ROUND(H151*I151,2)</x:f>
        <x:v>1120</x:v>
      </x:c>
      <x:c r="M151" s="9" t="n">
        <x:f>L151-J151</x:f>
        <x:v>840</x:v>
      </x:c>
      <x:c r="N151" s="4" t="n">
        <x:f>IF(COUNTIFS($B$7:B151,B151)=1,1,0)</x:f>
        <x:v>1</x:v>
      </x:c>
    </x:row>
    <x:row r="152" ht="22" customHeight="1">
      <x:c r="A152" s="4" t="str">
        <x:v>L2025-023459</x:v>
      </x:c>
      <x:c r="B152" s="4" t="str">
        <x:v>O2025-09384</x:v>
      </x:c>
      <x:c r="C152" s="14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5" t="n">
        <x:v>4</x:v>
      </x:c>
      <x:c r="I152" s="9" t="n">
        <x:v>420</x:v>
      </x:c>
      <x:c r="J152" s="9" t="n">
        <x:v>336</x:v>
      </x:c>
      <x:c r="K152" s="9" t="n">
        <x:v>268.8</x:v>
      </x:c>
      <x:c r="L152" s="9" t="n">
        <x:f>ROUND(H152*I152,2)</x:f>
        <x:v>1680</x:v>
      </x:c>
      <x:c r="M152" s="9" t="n">
        <x:f>L152-J152</x:f>
        <x:v>1344</x:v>
      </x:c>
      <x:c r="N152" s="4" t="n">
        <x:f>IF(COUNTIFS($B$7:B152,B152)=1,1,0)</x:f>
        <x:v>0</x:v>
      </x:c>
    </x:row>
    <x:row r="153" ht="22" customHeight="1">
      <x:c r="A153" s="4" t="str">
        <x:v>L2025-023460</x:v>
      </x:c>
      <x:c r="B153" s="4" t="str">
        <x:v>O2025-09384</x:v>
      </x:c>
      <x:c r="C153" s="14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5" t="n">
        <x:v>3</x:v>
      </x:c>
      <x:c r="I153" s="9" t="n">
        <x:v>448</x:v>
      </x:c>
      <x:c r="J153" s="9" t="n">
        <x:v>134.4</x:v>
      </x:c>
      <x:c r="K153" s="9" t="n">
        <x:v>286.72</x:v>
      </x:c>
      <x:c r="L153" s="9" t="n">
        <x:f>ROUND(H153*I153,2)</x:f>
        <x:v>1344</x:v>
      </x:c>
      <x:c r="M153" s="9" t="n">
        <x:f>L153-J153</x:f>
        <x:v>1209.6</x:v>
      </x:c>
      <x:c r="N153" s="4" t="n">
        <x:f>IF(COUNTIFS($B$7:B153,B153)=1,1,0)</x:f>
        <x:v>0</x:v>
      </x:c>
    </x:row>
    <x:row r="154" ht="22" customHeight="1">
      <x:c r="A154" s="4" t="str">
        <x:v>L2025-023966</x:v>
      </x:c>
      <x:c r="B154" s="4" t="str">
        <x:v>O2025-09587</x:v>
      </x:c>
      <x:c r="C154" s="14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5" t="n">
        <x:v>5</x:v>
      </x:c>
      <x:c r="I154" s="9" t="n">
        <x:v>90</x:v>
      </x:c>
      <x:c r="J154" s="9" t="n">
        <x:v>67.5</x:v>
      </x:c>
      <x:c r="K154" s="9" t="n">
        <x:v>46.8</x:v>
      </x:c>
      <x:c r="L154" s="9" t="n">
        <x:f>ROUND(H154*I154,2)</x:f>
        <x:v>450</x:v>
      </x:c>
      <x:c r="M154" s="9" t="n">
        <x:f>L154-J154</x:f>
        <x:v>382.5</x:v>
      </x:c>
      <x:c r="N154" s="4" t="n">
        <x:f>IF(COUNTIFS($B$7:B154,B154)=1,1,0)</x:f>
        <x:v>1</x:v>
      </x:c>
    </x:row>
    <x:row r="155" ht="22" customHeight="1">
      <x:c r="A155" s="4" t="str">
        <x:v>L2025-023967</x:v>
      </x:c>
      <x:c r="B155" s="4" t="str">
        <x:v>O2025-09587</x:v>
      </x:c>
      <x:c r="C155" s="14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5" t="n">
        <x:v>1</x:v>
      </x:c>
      <x:c r="I155" s="9" t="n">
        <x:v>216</x:v>
      </x:c>
      <x:c r="J155" s="9" t="n">
        <x:v>21.6</x:v>
      </x:c>
      <x:c r="K155" s="9" t="n">
        <x:v>133.92</x:v>
      </x:c>
      <x:c r="L155" s="9" t="n">
        <x:f>ROUND(H155*I155,2)</x:f>
        <x:v>216</x:v>
      </x:c>
      <x:c r="M155" s="9" t="n">
        <x:f>L155-J155</x:f>
        <x:v>194.4</x:v>
      </x:c>
      <x:c r="N155" s="4" t="n">
        <x:f>IF(COUNTIFS($B$7:B155,B155)=1,1,0)</x:f>
        <x:v>0</x:v>
      </x:c>
    </x:row>
    <x:row r="156" ht="22" customHeight="1">
      <x:c r="A156" s="4" t="str">
        <x:v>L2025-024476</x:v>
      </x:c>
      <x:c r="B156" s="4" t="str">
        <x:v>O2025-09791</x:v>
      </x:c>
      <x:c r="C156" s="14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5" t="n">
        <x:v>2</x:v>
      </x:c>
      <x:c r="I156" s="9" t="n">
        <x:v>80</x:v>
      </x:c>
      <x:c r="J156" s="9" t="n">
        <x:v>16</x:v>
      </x:c>
      <x:c r="K156" s="9" t="n">
        <x:v>41.6</x:v>
      </x:c>
      <x:c r="L156" s="9" t="n">
        <x:f>ROUND(H156*I156,2)</x:f>
        <x:v>160</x:v>
      </x:c>
      <x:c r="M156" s="9" t="n">
        <x:f>L156-J156</x:f>
        <x:v>144</x:v>
      </x:c>
      <x:c r="N156" s="4" t="n">
        <x:f>IF(COUNTIFS($B$7:B156,B156)=1,1,0)</x:f>
        <x:v>1</x:v>
      </x:c>
    </x:row>
    <x:row r="157" ht="22" customHeight="1">
      <x:c r="A157" s="4" t="str">
        <x:v>L2025-024477</x:v>
      </x:c>
      <x:c r="B157" s="4" t="str">
        <x:v>O2025-09791</x:v>
      </x:c>
      <x:c r="C157" s="14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5" t="n">
        <x:v>3</x:v>
      </x:c>
      <x:c r="I157" s="9" t="n">
        <x:v>120</x:v>
      </x:c>
      <x:c r="J157" s="9" t="n">
        <x:v>54</x:v>
      </x:c>
      <x:c r="K157" s="9" t="n">
        <x:v>62.4</x:v>
      </x:c>
      <x:c r="L157" s="9" t="n">
        <x:f>ROUND(H157*I157,2)</x:f>
        <x:v>360</x:v>
      </x:c>
      <x:c r="M157" s="9" t="n">
        <x:f>L157-J157</x:f>
        <x:v>306</x:v>
      </x:c>
      <x:c r="N157" s="4" t="n">
        <x:f>IF(COUNTIFS($B$7:B157,B157)=1,1,0)</x:f>
        <x:v>0</x:v>
      </x:c>
    </x:row>
    <x:row r="158" ht="22" customHeight="1">
      <x:c r="A158" s="4" t="str">
        <x:v>L2025-024986</x:v>
      </x:c>
      <x:c r="B158" s="4" t="str">
        <x:v>O2025-09995</x:v>
      </x:c>
      <x:c r="C158" s="14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5" t="n">
        <x:v>5</x:v>
      </x:c>
      <x:c r="I158" s="9" t="n">
        <x:v>1750</x:v>
      </x:c>
      <x:c r="J158" s="9" t="n">
        <x:v>1312.5</x:v>
      </x:c>
      <x:c r="K158" s="9" t="n">
        <x:v>1470</x:v>
      </x:c>
      <x:c r="L158" s="9" t="n">
        <x:f>ROUND(H158*I158,2)</x:f>
        <x:v>8750</x:v>
      </x:c>
      <x:c r="M158" s="9" t="n">
        <x:f>L158-J158</x:f>
        <x:v>7437.5</x:v>
      </x:c>
      <x:c r="N158" s="4" t="n">
        <x:f>IF(COUNTIFS($B$7:B158,B158)=1,1,0)</x:f>
        <x:v>1</x:v>
      </x:c>
    </x:row>
    <x:row r="159" ht="22" customHeight="1">
      <x:c r="A159" s="4" t="str">
        <x:v>L2025-024987</x:v>
      </x:c>
      <x:c r="B159" s="4" t="str">
        <x:v>O2025-09995</x:v>
      </x:c>
      <x:c r="C159" s="14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5" t="n">
        <x:v>3</x:v>
      </x:c>
      <x:c r="I159" s="9" t="n">
        <x:v>504</x:v>
      </x:c>
      <x:c r="J159" s="9" t="n">
        <x:v>226.8</x:v>
      </x:c>
      <x:c r="K159" s="9" t="n">
        <x:v>302.4</x:v>
      </x:c>
      <x:c r="L159" s="9" t="n">
        <x:f>ROUND(H159*I159,2)</x:f>
        <x:v>1512</x:v>
      </x:c>
      <x:c r="M159" s="9" t="n">
        <x:f>L159-J159</x:f>
        <x:v>1285.2</x:v>
      </x:c>
      <x:c r="N159" s="4" t="n">
        <x:f>IF(COUNTIFS($B$7:B159,B159)=1,1,0)</x:f>
        <x:v>0</x:v>
      </x:c>
    </x:row>
    <x:row r="160" ht="22" customHeight="1">
      <x:c r="A160" s="4" t="str">
        <x:v>L2025-024988</x:v>
      </x:c>
      <x:c r="B160" s="4" t="str">
        <x:v>O2025-09996</x:v>
      </x:c>
      <x:c r="C160" s="14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5" t="n">
        <x:v>1</x:v>
      </x:c>
      <x:c r="I160" s="9" t="n">
        <x:v>504</x:v>
      </x:c>
      <x:c r="J160" s="9" t="n">
        <x:v>126</x:v>
      </x:c>
      <x:c r="K160" s="9" t="n">
        <x:v>302.4</x:v>
      </x:c>
      <x:c r="L160" s="9" t="n">
        <x:f>ROUND(H160*I160,2)</x:f>
        <x:v>504</x:v>
      </x:c>
      <x:c r="M160" s="9" t="n">
        <x:f>L160-J160</x:f>
        <x:v>378</x:v>
      </x:c>
      <x:c r="N160" s="4" t="n">
        <x:f>IF(COUNTIFS($B$7:B160,B160)=1,1,0)</x:f>
        <x:v>1</x:v>
      </x:c>
    </x:row>
    <x:row r="161" ht="22" customHeight="1">
      <x:c r="A161" s="4" t="str">
        <x:v>L2025-024989</x:v>
      </x:c>
      <x:c r="B161" s="4" t="str">
        <x:v>O2025-09996</x:v>
      </x:c>
      <x:c r="C161" s="14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5" t="n">
        <x:v>4</x:v>
      </x:c>
      <x:c r="I161" s="9" t="n">
        <x:v>2750</x:v>
      </x:c>
      <x:c r="J161" s="9" t="n">
        <x:v>2200</x:v>
      </x:c>
      <x:c r="K161" s="9" t="n">
        <x:v>2310</x:v>
      </x:c>
      <x:c r="L161" s="9" t="n">
        <x:f>ROUND(H161*I161,2)</x:f>
        <x:v>11000</x:v>
      </x:c>
      <x:c r="M161" s="9" t="n">
        <x:f>L161-J161</x:f>
        <x:v>8800</x:v>
      </x:c>
      <x:c r="N161" s="4" t="n">
        <x:f>IF(COUNTIFS($B$7:B161,B161)=1,1,0)</x:f>
        <x:v>0</x:v>
      </x:c>
    </x:row>
    <x:row r="162" ht="22" customHeight="1">
      <x:c r="A162" s="4" t="str">
        <x:v>L2025-024990</x:v>
      </x:c>
      <x:c r="B162" s="4" t="str">
        <x:v>O2025-09996</x:v>
      </x:c>
      <x:c r="C162" s="14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5" t="n">
        <x:v>1</x:v>
      </x:c>
      <x:c r="I162" s="9" t="n">
        <x:v>90</x:v>
      </x:c>
      <x:c r="J162" s="9" t="n">
        <x:v>9</x:v>
      </x:c>
      <x:c r="K162" s="9" t="n">
        <x:v>46.8</x:v>
      </x:c>
      <x:c r="L162" s="9" t="n">
        <x:f>ROUND(H162*I162,2)</x:f>
        <x:v>90</x:v>
      </x:c>
      <x:c r="M162" s="9" t="n">
        <x:f>L162-J162</x:f>
        <x:v>81</x:v>
      </x:c>
      <x:c r="N162" s="4" t="n">
        <x:f>IF(COUNTIFS($B$7:B162,B162)=1,1,0)</x:f>
        <x:v>0</x:v>
      </x:c>
    </x:row>
    <x:row r="163" ht="22" customHeight="1">
      <x:c r="A163" s="4" t="str">
        <x:v>L2025-025481</x:v>
      </x:c>
      <x:c r="B163" s="4" t="str">
        <x:v>O2025-10193</x:v>
      </x:c>
      <x:c r="C163" s="14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5" t="n">
        <x:v>5</x:v>
      </x:c>
      <x:c r="I163" s="9" t="n">
        <x:v>264</x:v>
      </x:c>
      <x:c r="J163" s="9" t="n">
        <x:v>330</x:v>
      </x:c>
      <x:c r="K163" s="9" t="n">
        <x:v>163.68</x:v>
      </x:c>
      <x:c r="L163" s="9" t="n">
        <x:f>ROUND(H163*I163,2)</x:f>
        <x:v>1320</x:v>
      </x:c>
      <x:c r="M163" s="9" t="n">
        <x:f>L163-J163</x:f>
        <x:v>990</x:v>
      </x:c>
      <x:c r="N163" s="4" t="n">
        <x:f>IF(COUNTIFS($B$7:B163,B163)=1,1,0)</x:f>
        <x:v>1</x:v>
      </x:c>
    </x:row>
    <x:row r="164" ht="22" customHeight="1">
      <x:c r="A164" s="4" t="str">
        <x:v>L2025-025482</x:v>
      </x:c>
      <x:c r="B164" s="4" t="str">
        <x:v>O2025-10193</x:v>
      </x:c>
      <x:c r="C164" s="14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5" t="n">
        <x:v>3</x:v>
      </x:c>
      <x:c r="I164" s="9" t="n">
        <x:v>3750</x:v>
      </x:c>
      <x:c r="J164" s="9" t="n">
        <x:v>3375</x:v>
      </x:c>
      <x:c r="K164" s="9" t="n">
        <x:v>3150</x:v>
      </x:c>
      <x:c r="L164" s="9" t="n">
        <x:f>ROUND(H164*I164,2)</x:f>
        <x:v>11250</x:v>
      </x:c>
      <x:c r="M164" s="9" t="n">
        <x:f>L164-J164</x:f>
        <x:v>7875</x:v>
      </x:c>
      <x:c r="N164" s="4" t="n">
        <x:f>IF(COUNTIFS($B$7:B164,B164)=1,1,0)</x:f>
        <x:v>0</x:v>
      </x:c>
    </x:row>
    <x:row r="165" ht="22" customHeight="1">
      <x:c r="A165" s="4" t="str">
        <x:v>L2025-025973</x:v>
      </x:c>
      <x:c r="B165" s="4" t="str">
        <x:v>O2025-10390</x:v>
      </x:c>
      <x:c r="C165" s="14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5" t="n">
        <x:v>4</x:v>
      </x:c>
      <x:c r="I165" s="9" t="n">
        <x:v>3500</x:v>
      </x:c>
      <x:c r="J165" s="9" t="n">
        <x:v>2100</x:v>
      </x:c>
      <x:c r="K165" s="9" t="n">
        <x:v>2940</x:v>
      </x:c>
      <x:c r="L165" s="9" t="n">
        <x:f>ROUND(H165*I165,2)</x:f>
        <x:v>14000</x:v>
      </x:c>
      <x:c r="M165" s="9" t="n">
        <x:f>L165-J165</x:f>
        <x:v>11900</x:v>
      </x:c>
      <x:c r="N165" s="4" t="n">
        <x:f>IF(COUNTIFS($B$7:B165,B165)=1,1,0)</x:f>
        <x:v>1</x:v>
      </x:c>
    </x:row>
    <x:row r="166" ht="22" customHeight="1">
      <x:c r="A166" s="4" t="str">
        <x:v>L2025-025974</x:v>
      </x:c>
      <x:c r="B166" s="4" t="str">
        <x:v>O2025-10390</x:v>
      </x:c>
      <x:c r="C166" s="14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5" t="n">
        <x:v>2</x:v>
      </x:c>
      <x:c r="I166" s="9" t="n">
        <x:v>180</x:v>
      </x:c>
      <x:c r="J166" s="9" t="n">
        <x:v>90</x:v>
      </x:c>
      <x:c r="K166" s="9" t="n">
        <x:v>108</x:v>
      </x:c>
      <x:c r="L166" s="9" t="n">
        <x:f>ROUND(H166*I166,2)</x:f>
        <x:v>360</x:v>
      </x:c>
      <x:c r="M166" s="9" t="n">
        <x:f>L166-J166</x:f>
        <x:v>270</x:v>
      </x:c>
      <x:c r="N166" s="4" t="n">
        <x:f>IF(COUNTIFS($B$7:B166,B166)=1,1,0)</x:f>
        <x:v>0</x:v>
      </x:c>
    </x:row>
    <x:row r="167" ht="22" customHeight="1">
      <x:c r="A167" s="4" t="str">
        <x:v>L2025-025975</x:v>
      </x:c>
      <x:c r="B167" s="4" t="str">
        <x:v>O2025-10390</x:v>
      </x:c>
      <x:c r="C167" s="14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5" t="n">
        <x:v>5</x:v>
      </x:c>
      <x:c r="I167" s="9" t="n">
        <x:v>70</x:v>
      </x:c>
      <x:c r="J167" s="9" t="n">
        <x:v>87.5</x:v>
      </x:c>
      <x:c r="K167" s="9" t="n">
        <x:v>36.4</x:v>
      </x:c>
      <x:c r="L167" s="9" t="n">
        <x:f>ROUND(H167*I167,2)</x:f>
        <x:v>350</x:v>
      </x:c>
      <x:c r="M167" s="9" t="n">
        <x:f>L167-J167</x:f>
        <x:v>262.5</x:v>
      </x:c>
      <x:c r="N167" s="4" t="n">
        <x:f>IF(COUNTIFS($B$7:B167,B167)=1,1,0)</x:f>
        <x:v>0</x:v>
      </x:c>
    </x:row>
    <x:row r="168" ht="22" customHeight="1">
      <x:c r="A168" s="4" t="str">
        <x:v>L2025-026466</x:v>
      </x:c>
      <x:c r="B168" s="4" t="str">
        <x:v>O2025-10587</x:v>
      </x:c>
      <x:c r="C168" s="14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5" t="n">
        <x:v>5</x:v>
      </x:c>
      <x:c r="I168" s="9" t="n">
        <x:v>2500</x:v>
      </x:c>
      <x:c r="J168" s="9" t="n">
        <x:v>2500</x:v>
      </x:c>
      <x:c r="K168" s="9" t="n">
        <x:v>2100</x:v>
      </x:c>
      <x:c r="L168" s="9" t="n">
        <x:f>ROUND(H168*I168,2)</x:f>
        <x:v>12500</x:v>
      </x:c>
      <x:c r="M168" s="9" t="n">
        <x:f>L168-J168</x:f>
        <x:v>10000</x:v>
      </x:c>
      <x:c r="N168" s="4" t="n">
        <x:f>IF(COUNTIFS($B$7:B168,B168)=1,1,0)</x:f>
        <x:v>1</x:v>
      </x:c>
    </x:row>
    <x:row r="169" ht="22" customHeight="1">
      <x:c r="A169" s="4" t="str">
        <x:v>L2025-026467</x:v>
      </x:c>
      <x:c r="B169" s="4" t="str">
        <x:v>O2025-10587</x:v>
      </x:c>
      <x:c r="C169" s="14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5" t="n">
        <x:v>3</x:v>
      </x:c>
      <x:c r="I169" s="9" t="n">
        <x:v>576</x:v>
      </x:c>
      <x:c r="J169" s="9" t="n">
        <x:v>518.4</x:v>
      </x:c>
      <x:c r="K169" s="9" t="n">
        <x:v>345.6</x:v>
      </x:c>
      <x:c r="L169" s="9" t="n">
        <x:f>ROUND(H169*I169,2)</x:f>
        <x:v>1728</x:v>
      </x:c>
      <x:c r="M169" s="9" t="n">
        <x:f>L169-J169</x:f>
        <x:v>1209.6</x:v>
      </x:c>
      <x:c r="N169" s="4" t="n">
        <x:f>IF(COUNTIFS($B$7:B169,B169)=1,1,0)</x:f>
        <x:v>0</x:v>
      </x:c>
    </x:row>
    <x:row r="170" ht="22" customHeight="1">
      <x:c r="A170" s="4" t="str">
        <x:v>L2025-026956</x:v>
      </x:c>
      <x:c r="B170" s="4" t="str">
        <x:v>O2025-10783</x:v>
      </x:c>
      <x:c r="C170" s="14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5" t="n">
        <x:v>1</x:v>
      </x:c>
      <x:c r="I170" s="9" t="n">
        <x:v>264</x:v>
      </x:c>
      <x:c r="J170" s="9" t="n">
        <x:v>66</x:v>
      </x:c>
      <x:c r="K170" s="9" t="n">
        <x:v>163.68</x:v>
      </x:c>
      <x:c r="L170" s="9" t="n">
        <x:f>ROUND(H170*I170,2)</x:f>
        <x:v>264</x:v>
      </x:c>
      <x:c r="M170" s="9" t="n">
        <x:f>L170-J170</x:f>
        <x:v>198</x:v>
      </x:c>
      <x:c r="N170" s="4" t="n">
        <x:f>IF(COUNTIFS($B$7:B170,B170)=1,1,0)</x:f>
        <x:v>1</x:v>
      </x:c>
    </x:row>
    <x:row r="171" ht="22" customHeight="1">
      <x:c r="A171" s="4" t="str">
        <x:v>L2025-026957</x:v>
      </x:c>
      <x:c r="B171" s="4" t="str">
        <x:v>O2025-10783</x:v>
      </x:c>
      <x:c r="C171" s="14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5" t="n">
        <x:v>2</x:v>
      </x:c>
      <x:c r="I171" s="9" t="n">
        <x:v>1750</x:v>
      </x:c>
      <x:c r="J171" s="9" t="n">
        <x:v>1050</x:v>
      </x:c>
      <x:c r="K171" s="9" t="n">
        <x:v>1470</x:v>
      </x:c>
      <x:c r="L171" s="9" t="n">
        <x:f>ROUND(H171*I171,2)</x:f>
        <x:v>3500</x:v>
      </x:c>
      <x:c r="M171" s="9" t="n">
        <x:f>L171-J171</x:f>
        <x:v>2450</x:v>
      </x:c>
      <x:c r="N171" s="4" t="n">
        <x:f>IF(COUNTIFS($B$7:B171,B171)=1,1,0)</x:f>
        <x:v>0</x:v>
      </x:c>
    </x:row>
    <x:row r="172" ht="22" customHeight="1">
      <x:c r="A172" s="4" t="str">
        <x:v>L2025-027451</x:v>
      </x:c>
      <x:c r="B172" s="4" t="str">
        <x:v>O2025-10981</x:v>
      </x:c>
      <x:c r="C172" s="14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5" t="n">
        <x:v>3</x:v>
      </x:c>
      <x:c r="I172" s="9" t="n">
        <x:v>360</x:v>
      </x:c>
      <x:c r="J172" s="9" t="n">
        <x:v>270</x:v>
      </x:c>
      <x:c r="K172" s="9" t="n">
        <x:v>223.2</x:v>
      </x:c>
      <x:c r="L172" s="9" t="n">
        <x:f>ROUND(H172*I172,2)</x:f>
        <x:v>1080</x:v>
      </x:c>
      <x:c r="M172" s="9" t="n">
        <x:f>L172-J172</x:f>
        <x:v>810</x:v>
      </x:c>
      <x:c r="N172" s="4" t="n">
        <x:f>IF(COUNTIFS($B$7:B172,B172)=1,1,0)</x:f>
        <x:v>1</x:v>
      </x:c>
    </x:row>
    <x:row r="173" ht="22" customHeight="1">
      <x:c r="A173" s="4" t="str">
        <x:v>L2025-027452</x:v>
      </x:c>
      <x:c r="B173" s="4" t="str">
        <x:v>O2025-10981</x:v>
      </x:c>
      <x:c r="C173" s="14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5" t="n">
        <x:v>2</x:v>
      </x:c>
      <x:c r="I173" s="9" t="n">
        <x:v>192</x:v>
      </x:c>
      <x:c r="J173" s="9" t="n">
        <x:v>96</x:v>
      </x:c>
      <x:c r="K173" s="9" t="n">
        <x:v>119.04</x:v>
      </x:c>
      <x:c r="L173" s="9" t="n">
        <x:f>ROUND(H173*I173,2)</x:f>
        <x:v>384</x:v>
      </x:c>
      <x:c r="M173" s="9" t="n">
        <x:f>L173-J173</x:f>
        <x:v>288</x:v>
      </x:c>
      <x:c r="N173" s="4" t="n">
        <x:f>IF(COUNTIFS($B$7:B173,B173)=1,1,0)</x:f>
        <x:v>0</x:v>
      </x:c>
    </x:row>
    <x:row r="174" ht="22" customHeight="1">
      <x:c r="A174" s="4" t="str">
        <x:v>L2025-027453</x:v>
      </x:c>
      <x:c r="B174" s="4" t="str">
        <x:v>O2025-10982</x:v>
      </x:c>
      <x:c r="C174" s="14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5" t="n">
        <x:v>4</x:v>
      </x:c>
      <x:c r="I174" s="9" t="n">
        <x:v>336</x:v>
      </x:c>
      <x:c r="J174" s="9" t="n">
        <x:v>268.8</x:v>
      </x:c>
      <x:c r="K174" s="9" t="n">
        <x:v>208.32</x:v>
      </x:c>
      <x:c r="L174" s="9" t="n">
        <x:f>ROUND(H174*I174,2)</x:f>
        <x:v>1344</x:v>
      </x:c>
      <x:c r="M174" s="9" t="n">
        <x:f>L174-J174</x:f>
        <x:v>1075.2</x:v>
      </x:c>
      <x:c r="N174" s="4" t="n">
        <x:f>IF(COUNTIFS($B$7:B174,B174)=1,1,0)</x:f>
        <x:v>1</x:v>
      </x:c>
    </x:row>
    <x:row r="175" ht="22" customHeight="1">
      <x:c r="A175" s="4" t="str">
        <x:v>L2025-027454</x:v>
      </x:c>
      <x:c r="B175" s="4" t="str">
        <x:v>O2025-10982</x:v>
      </x:c>
      <x:c r="C175" s="14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5" t="n">
        <x:v>1</x:v>
      </x:c>
      <x:c r="I175" s="9" t="n">
        <x:v>360</x:v>
      </x:c>
      <x:c r="J175" s="9" t="n">
        <x:v>54</x:v>
      </x:c>
      <x:c r="K175" s="9" t="n">
        <x:v>223.2</x:v>
      </x:c>
      <x:c r="L175" s="9" t="n">
        <x:f>ROUND(H175*I175,2)</x:f>
        <x:v>360</x:v>
      </x:c>
      <x:c r="M175" s="9" t="n">
        <x:f>L175-J175</x:f>
        <x:v>306</x:v>
      </x:c>
      <x:c r="N175" s="4" t="n">
        <x:f>IF(COUNTIFS($B$7:B175,B175)=1,1,0)</x:f>
        <x:v>0</x:v>
      </x:c>
    </x:row>
    <x:row r="176" ht="22" customHeight="1">
      <x:c r="A176" s="4" t="str">
        <x:v>L2025-027455</x:v>
      </x:c>
      <x:c r="B176" s="4" t="str">
        <x:v>O2025-10982</x:v>
      </x:c>
      <x:c r="C176" s="14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5" t="n">
        <x:v>1</x:v>
      </x:c>
      <x:c r="I176" s="9" t="n">
        <x:v>448</x:v>
      </x:c>
      <x:c r="J176" s="9" t="n">
        <x:v>89.6</x:v>
      </x:c>
      <x:c r="K176" s="9" t="n">
        <x:v>286.72</x:v>
      </x:c>
      <x:c r="L176" s="9" t="n">
        <x:f>ROUND(H176*I176,2)</x:f>
        <x:v>448</x:v>
      </x:c>
      <x:c r="M176" s="9" t="n">
        <x:f>L176-J176</x:f>
        <x:v>358.4</x:v>
      </x:c>
      <x:c r="N176" s="4" t="n">
        <x:f>IF(COUNTIFS($B$7:B176,B176)=1,1,0)</x:f>
        <x:v>0</x:v>
      </x:c>
    </x:row>
    <x:row r="177" ht="22" customHeight="1">
      <x:c r="A177" s="4" t="str">
        <x:v>L2025-027961</x:v>
      </x:c>
      <x:c r="B177" s="4" t="str">
        <x:v>O2025-11185</x:v>
      </x:c>
      <x:c r="C177" s="14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5" t="n">
        <x:v>4</x:v>
      </x:c>
      <x:c r="I177" s="9" t="n">
        <x:v>140</x:v>
      </x:c>
      <x:c r="J177" s="9" t="n">
        <x:v>84</x:v>
      </x:c>
      <x:c r="K177" s="9" t="n">
        <x:v>89.6</x:v>
      </x:c>
      <x:c r="L177" s="9" t="n">
        <x:f>ROUND(H177*I177,2)</x:f>
        <x:v>560</x:v>
      </x:c>
      <x:c r="M177" s="9" t="n">
        <x:f>L177-J177</x:f>
        <x:v>476</x:v>
      </x:c>
      <x:c r="N177" s="4" t="n">
        <x:f>IF(COUNTIFS($B$7:B177,B177)=1,1,0)</x:f>
        <x:v>1</x:v>
      </x:c>
    </x:row>
    <x:row r="178" ht="22" customHeight="1">
      <x:c r="A178" s="4" t="str">
        <x:v>L2025-027962</x:v>
      </x:c>
      <x:c r="B178" s="4" t="str">
        <x:v>O2025-11185</x:v>
      </x:c>
      <x:c r="C178" s="14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5" t="n">
        <x:v>5</x:v>
      </x:c>
      <x:c r="I178" s="9" t="n">
        <x:v>2000</x:v>
      </x:c>
      <x:c r="J178" s="9" t="n">
        <x:v>0</x:v>
      </x:c>
      <x:c r="K178" s="9" t="n">
        <x:v>1680</x:v>
      </x:c>
      <x:c r="L178" s="9" t="n">
        <x:f>ROUND(H178*I178,2)</x:f>
        <x:v>10000</x:v>
      </x:c>
      <x:c r="M178" s="9" t="n">
        <x:f>L178-J178</x:f>
        <x:v>10000</x:v>
      </x:c>
      <x:c r="N178" s="4" t="n">
        <x:f>IF(COUNTIFS($B$7:B178,B178)=1,1,0)</x:f>
        <x:v>0</x:v>
      </x:c>
    </x:row>
    <x:row r="179" ht="22" customHeight="1">
      <x:c r="A179" s="4" t="str">
        <x:v>L2025-028471</x:v>
      </x:c>
      <x:c r="B179" s="4" t="str">
        <x:v>O2025-11389</x:v>
      </x:c>
      <x:c r="C179" s="14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5" t="n">
        <x:v>5</x:v>
      </x:c>
      <x:c r="I179" s="9" t="n">
        <x:v>360</x:v>
      </x:c>
      <x:c r="J179" s="9" t="n">
        <x:v>270</x:v>
      </x:c>
      <x:c r="K179" s="9" t="n">
        <x:v>223.2</x:v>
      </x:c>
      <x:c r="L179" s="9" t="n">
        <x:f>ROUND(H179*I179,2)</x:f>
        <x:v>1800</x:v>
      </x:c>
      <x:c r="M179" s="9" t="n">
        <x:f>L179-J179</x:f>
        <x:v>1530</x:v>
      </x:c>
      <x:c r="N179" s="4" t="n">
        <x:f>IF(COUNTIFS($B$7:B179,B179)=1,1,0)</x:f>
        <x:v>1</x:v>
      </x:c>
    </x:row>
    <x:row r="180" ht="22" customHeight="1">
      <x:c r="A180" s="4" t="str">
        <x:v>L2025-028472</x:v>
      </x:c>
      <x:c r="B180" s="4" t="str">
        <x:v>O2025-11389</x:v>
      </x:c>
      <x:c r="C180" s="14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5" t="n">
        <x:v>2</x:v>
      </x:c>
      <x:c r="I180" s="9" t="n">
        <x:v>2250</x:v>
      </x:c>
      <x:c r="J180" s="9" t="n">
        <x:v>0</x:v>
      </x:c>
      <x:c r="K180" s="9" t="n">
        <x:v>1890</x:v>
      </x:c>
      <x:c r="L180" s="9" t="n">
        <x:f>ROUND(H180*I180,2)</x:f>
        <x:v>4500</x:v>
      </x:c>
      <x:c r="M180" s="9" t="n">
        <x:f>L180-J180</x:f>
        <x:v>4500</x:v>
      </x:c>
      <x:c r="N180" s="4" t="n">
        <x:f>IF(COUNTIFS($B$7:B180,B180)=1,1,0)</x:f>
        <x:v>0</x:v>
      </x:c>
    </x:row>
    <x:row r="181" ht="22" customHeight="1">
      <x:c r="A181" s="4" t="str">
        <x:v>L2025-028978</x:v>
      </x:c>
      <x:c r="B181" s="4" t="str">
        <x:v>O2025-11592</x:v>
      </x:c>
      <x:c r="C181" s="14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5" t="n">
        <x:v>4</x:v>
      </x:c>
      <x:c r="I181" s="9" t="n">
        <x:v>3750</x:v>
      </x:c>
      <x:c r="J181" s="9" t="n">
        <x:v>3000</x:v>
      </x:c>
      <x:c r="K181" s="9" t="n">
        <x:v>3150</x:v>
      </x:c>
      <x:c r="L181" s="9" t="n">
        <x:f>ROUND(H181*I181,2)</x:f>
        <x:v>15000</x:v>
      </x:c>
      <x:c r="M181" s="9" t="n">
        <x:f>L181-J181</x:f>
        <x:v>12000</x:v>
      </x:c>
      <x:c r="N181" s="4" t="n">
        <x:f>IF(COUNTIFS($B$7:B181,B181)=1,1,0)</x:f>
        <x:v>1</x:v>
      </x:c>
    </x:row>
    <x:row r="182" ht="22" customHeight="1">
      <x:c r="A182" s="4" t="str">
        <x:v>L2025-028979</x:v>
      </x:c>
      <x:c r="B182" s="4" t="str">
        <x:v>O2025-11592</x:v>
      </x:c>
      <x:c r="C182" s="14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5" t="n">
        <x:v>3</x:v>
      </x:c>
      <x:c r="I182" s="9" t="n">
        <x:v>100</x:v>
      </x:c>
      <x:c r="J182" s="9" t="n">
        <x:v>45</x:v>
      </x:c>
      <x:c r="K182" s="9" t="n">
        <x:v>52</x:v>
      </x:c>
      <x:c r="L182" s="9" t="n">
        <x:f>ROUND(H182*I182,2)</x:f>
        <x:v>300</x:v>
      </x:c>
      <x:c r="M182" s="9" t="n">
        <x:f>L182-J182</x:f>
        <x:v>255</x:v>
      </x:c>
      <x:c r="N182" s="4" t="n">
        <x:f>IF(COUNTIFS($B$7:B182,B182)=1,1,0)</x:f>
        <x:v>0</x:v>
      </x:c>
    </x:row>
    <x:row r="183" ht="22" customHeight="1">
      <x:c r="A183" s="4" t="str">
        <x:v>L2025-028980</x:v>
      </x:c>
      <x:c r="B183" s="4" t="str">
        <x:v>O2025-11592</x:v>
      </x:c>
      <x:c r="C183" s="14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5" t="n">
        <x:v>5</x:v>
      </x:c>
      <x:c r="I183" s="9" t="n">
        <x:v>3500</x:v>
      </x:c>
      <x:c r="J183" s="9" t="n">
        <x:v>3500</x:v>
      </x:c>
      <x:c r="K183" s="9" t="n">
        <x:v>2940</x:v>
      </x:c>
      <x:c r="L183" s="9" t="n">
        <x:f>ROUND(H183*I183,2)</x:f>
        <x:v>17500</x:v>
      </x:c>
      <x:c r="M183" s="9" t="n">
        <x:f>L183-J183</x:f>
        <x:v>14000</x:v>
      </x:c>
      <x:c r="N183" s="4" t="n">
        <x:f>IF(COUNTIFS($B$7:B183,B183)=1,1,0)</x:f>
        <x:v>0</x:v>
      </x:c>
    </x:row>
    <x:row r="184" ht="22" customHeight="1">
      <x:c r="A184" s="4" t="str">
        <x:v>L2025-029488</x:v>
      </x:c>
      <x:c r="B184" s="4" t="str">
        <x:v>O2025-11796</x:v>
      </x:c>
      <x:c r="C184" s="14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5" t="n">
        <x:v>5</x:v>
      </x:c>
      <x:c r="I184" s="9" t="n">
        <x:v>324</x:v>
      </x:c>
      <x:c r="J184" s="9" t="n">
        <x:v>324</x:v>
      </x:c>
      <x:c r="K184" s="9" t="n">
        <x:v>194.4</x:v>
      </x:c>
      <x:c r="L184" s="9" t="n">
        <x:f>ROUND(H184*I184,2)</x:f>
        <x:v>1620</x:v>
      </x:c>
      <x:c r="M184" s="9" t="n">
        <x:f>L184-J184</x:f>
        <x:v>1296</x:v>
      </x:c>
      <x:c r="N184" s="4" t="n">
        <x:f>IF(COUNTIFS($B$7:B184,B184)=1,1,0)</x:f>
        <x:v>1</x:v>
      </x:c>
    </x:row>
    <x:row r="185" ht="22" customHeight="1">
      <x:c r="A185" s="4" t="str">
        <x:v>L2025-029489</x:v>
      </x:c>
      <x:c r="B185" s="4" t="str">
        <x:v>O2025-11796</x:v>
      </x:c>
      <x:c r="C185" s="14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5" t="n">
        <x:v>5</x:v>
      </x:c>
      <x:c r="I185" s="9" t="n">
        <x:v>3500</x:v>
      </x:c>
      <x:c r="J185" s="9" t="n">
        <x:v>2625</x:v>
      </x:c>
      <x:c r="K185" s="9" t="n">
        <x:v>2940</x:v>
      </x:c>
      <x:c r="L185" s="9" t="n">
        <x:f>ROUND(H185*I185,2)</x:f>
        <x:v>17500</x:v>
      </x:c>
      <x:c r="M185" s="9" t="n">
        <x:f>L185-J185</x:f>
        <x:v>14875</x:v>
      </x:c>
      <x:c r="N185" s="4" t="n">
        <x:f>IF(COUNTIFS($B$7:B185,B185)=1,1,0)</x:f>
        <x:v>0</x:v>
      </x:c>
    </x:row>
    <x:row r="186" ht="22" customHeight="1">
      <x:c r="A186" s="4" t="str">
        <x:v>L2025-029490</x:v>
      </x:c>
      <x:c r="B186" s="4" t="str">
        <x:v>O2025-11796</x:v>
      </x:c>
      <x:c r="C186" s="14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5" t="n">
        <x:v>5</x:v>
      </x:c>
      <x:c r="I186" s="9" t="n">
        <x:v>288</x:v>
      </x:c>
      <x:c r="J186" s="9" t="n">
        <x:v>144</x:v>
      </x:c>
      <x:c r="K186" s="9" t="n">
        <x:v>172.8</x:v>
      </x:c>
      <x:c r="L186" s="9" t="n">
        <x:f>ROUND(H186*I186,2)</x:f>
        <x:v>1440</x:v>
      </x:c>
      <x:c r="M186" s="9" t="n">
        <x:f>L186-J186</x:f>
        <x:v>1296</x:v>
      </x:c>
      <x:c r="N186" s="4" t="n">
        <x:f>IF(COUNTIFS($B$7:B186,B186)=1,1,0)</x:f>
        <x:v>0</x:v>
      </x:c>
    </x:row>
    <x:row r="187" ht="22" customHeight="1">
      <x:c r="A187" s="4" t="str">
        <x:v>L2025-029998</x:v>
      </x:c>
      <x:c r="B187" s="4" t="str">
        <x:v>O2025-12000</x:v>
      </x:c>
      <x:c r="C187" s="14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5" t="n">
        <x:v>1</x:v>
      </x:c>
      <x:c r="I187" s="9" t="n">
        <x:v>448</x:v>
      </x:c>
      <x:c r="J187" s="9" t="n">
        <x:v>67.2</x:v>
      </x:c>
      <x:c r="K187" s="9" t="n">
        <x:v>286.72</x:v>
      </x:c>
      <x:c r="L187" s="9" t="n">
        <x:f>ROUND(H187*I187,2)</x:f>
        <x:v>448</x:v>
      </x:c>
      <x:c r="M187" s="9" t="n">
        <x:f>L187-J187</x:f>
        <x:v>380.8</x:v>
      </x:c>
      <x:c r="N187" s="4" t="n">
        <x:f>IF(COUNTIFS($B$7:B187,B187)=1,1,0)</x:f>
        <x:v>1</x:v>
      </x:c>
    </x:row>
    <x:row r="188" ht="22" customHeight="1">
      <x:c r="A188" s="4" t="str">
        <x:v>L2025-029999</x:v>
      </x:c>
      <x:c r="B188" s="4" t="str">
        <x:v>O2025-12000</x:v>
      </x:c>
      <x:c r="C188" s="14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5" t="n">
        <x:v>4</x:v>
      </x:c>
      <x:c r="I188" s="9" t="n">
        <x:v>160</x:v>
      </x:c>
      <x:c r="J188" s="9" t="n">
        <x:v>0</x:v>
      </x:c>
      <x:c r="K188" s="9" t="n">
        <x:v>83.2</x:v>
      </x:c>
      <x:c r="L188" s="9" t="n">
        <x:f>ROUND(H188*I188,2)</x:f>
        <x:v>640</x:v>
      </x:c>
      <x:c r="M188" s="9" t="n">
        <x:f>L188-J188</x:f>
        <x:v>640</x:v>
      </x:c>
      <x:c r="N188" s="4" t="n">
        <x:f>IF(COUNTIFS($B$7:B188,B188)=1,1,0)</x:f>
        <x:v>0</x:v>
      </x:c>
    </x:row>
    <x:row r="189" ht="22" customHeight="1">
      <x:c r="A189" s="4" t="str">
        <x:v>L2025-030000</x:v>
      </x:c>
      <x:c r="B189" s="4" t="str">
        <x:v>O2025-12000</x:v>
      </x:c>
      <x:c r="C189" s="14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5" t="n">
        <x:v>3</x:v>
      </x:c>
      <x:c r="I189" s="9" t="n">
        <x:v>3750</x:v>
      </x:c>
      <x:c r="J189" s="9" t="n">
        <x:v>0</x:v>
      </x:c>
      <x:c r="K189" s="9" t="n">
        <x:v>3150</x:v>
      </x:c>
      <x:c r="L189" s="9" t="n">
        <x:f>ROUND(H189*I189,2)</x:f>
        <x:v>11250</x:v>
      </x:c>
      <x:c r="M189" s="9" t="n">
        <x:f>L189-J189</x:f>
        <x:v>11250</x:v>
      </x:c>
      <x:c r="N189" s="4" t="n">
        <x:f>IF(COUNTIFS($B$7:B189,B189)=1,1,0)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deff44d95548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reference totals — 2025 sample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Formula-based reference. Build native PivotTables separately using the chapter guide.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Location</x:v>
      </x:c>
      <x:c r="B6" s="8" t="str">
        <x:v>Electronics</x:v>
      </x:c>
      <x:c r="C6" s="8" t="str">
        <x:v>Home care</x:v>
      </x:c>
      <x:c r="D6" s="8" t="str">
        <x:v>Kitchen</x:v>
      </x:c>
      <x:c r="E6" s="8" t="str">
        <x:v>Personal care</x:v>
      </x:c>
      <x:c r="F6" s="8" t="str">
        <x:v>Stationery</x:v>
      </x:c>
      <x:c r="G6" s="8" t="str">
        <x:v>All categories</x:v>
      </x:c>
      <x:c r="H6" s="1"/>
      <x:c r="I6" s="13" t="str">
        <x:v>Category</x:v>
      </x:c>
      <x:c r="J6" s="13" t="str">
        <x:v>Units</x:v>
      </x:c>
      <x:c r="K6" s="13" t="str">
        <x:v>Sales after discount</x:v>
      </x:c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S01</x:v>
      </x:c>
      <x:c r="B7" s="9" t="n">
        <x:f>SUMIFS(Sales!$M$7:$M$189,Sales!$D$7:$D$189,$A7,Sales!$G$7:$G$189,B$6)</x:f>
        <x:v>47187.5</x:v>
      </x:c>
      <x:c r="C7" s="9" t="n">
        <x:f>SUMIFS(Sales!$M$7:$M$189,Sales!$D$7:$D$189,$A7,Sales!$G$7:$G$189,C$6)</x:f>
        <x:v>960</x:v>
      </x:c>
      <x:c r="D7" s="9" t="n">
        <x:f>SUMIFS(Sales!$M$7:$M$189,Sales!$D$7:$D$189,$A7,Sales!$G$7:$G$189,D$6)</x:f>
        <x:v>5972.4</x:v>
      </x:c>
      <x:c r="E7" s="9" t="n">
        <x:f>SUMIFS(Sales!$M$7:$M$189,Sales!$D$7:$D$189,$A7,Sales!$G$7:$G$189,E$6)</x:f>
        <x:v>4984</x:v>
      </x:c>
      <x:c r="F7" s="9" t="n">
        <x:f>SUMIFS(Sales!$M$7:$M$189,Sales!$D$7:$D$189,$A7,Sales!$G$7:$G$189,F$6)</x:f>
        <x:v>924.5</x:v>
      </x:c>
      <x:c r="G7" s="9" t="n">
        <x:f>SUM(B7:F7)</x:f>
        <x:v>60028.4</x:v>
      </x:c>
      <x:c r="H7" s="1"/>
      <x:c r="I7" s="1" t="str">
        <x:v>Electronics</x:v>
      </x:c>
      <x:c r="J7" s="1" t="n">
        <x:f>SUMIFS(Sales!$H$7:$H$189,Sales!$G$7:$G$189,I7)</x:f>
        <x:v>174</x:v>
      </x:c>
      <x:c r="K7" s="10" t="n">
        <x:f>SUMIFS(Sales!$M$7:$M$189,Sales!$G$7:$G$189,I7)</x:f>
        <x:v>405987.5</x:v>
      </x:c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S02</x:v>
      </x:c>
      <x:c r="B8" s="9" t="n">
        <x:f>SUMIFS(Sales!$M$7:$M$189,Sales!$D$7:$D$189,$A8,Sales!$G$7:$G$189,B$6)</x:f>
        <x:v>33250</x:v>
      </x:c>
      <x:c r="C8" s="9" t="n">
        <x:f>SUMIFS(Sales!$M$7:$M$189,Sales!$D$7:$D$189,$A8,Sales!$G$7:$G$189,C$6)</x:f>
        <x:v>1143.6</x:v>
      </x:c>
      <x:c r="D8" s="9" t="n">
        <x:f>SUMIFS(Sales!$M$7:$M$189,Sales!$D$7:$D$189,$A8,Sales!$G$7:$G$189,D$6)</x:f>
        <x:v>4341.6</x:v>
      </x:c>
      <x:c r="E8" s="9" t="n">
        <x:f>SUMIFS(Sales!$M$7:$M$189,Sales!$D$7:$D$189,$A8,Sales!$G$7:$G$189,E$6)</x:f>
        <x:v>6442.8</x:v>
      </x:c>
      <x:c r="F8" s="9" t="n">
        <x:f>SUMIFS(Sales!$M$7:$M$189,Sales!$D$7:$D$189,$A8,Sales!$G$7:$G$189,F$6)</x:f>
        <x:v>1599</x:v>
      </x:c>
      <x:c r="G8" s="9" t="n">
        <x:f>SUM(B8:F8)</x:f>
        <x:v>46777</x:v>
      </x:c>
      <x:c r="H8" s="1"/>
      <x:c r="I8" s="1" t="str">
        <x:v>Home care</x:v>
      </x:c>
      <x:c r="J8" s="1" t="n">
        <x:f>SUMIFS(Sales!$H$7:$H$189,Sales!$G$7:$G$189,I8)</x:f>
        <x:v>82</x:v>
      </x:c>
      <x:c r="K8" s="10" t="n">
        <x:f>SUMIFS(Sales!$M$7:$M$189,Sales!$G$7:$G$189,I8)</x:f>
        <x:v>18190.800000000003</x:v>
      </x:c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S03</x:v>
      </x:c>
      <x:c r="B9" s="9" t="n">
        <x:f>SUMIFS(Sales!$M$7:$M$189,Sales!$D$7:$D$189,$A9,Sales!$G$7:$G$189,B$6)</x:f>
        <x:v>17450</x:v>
      </x:c>
      <x:c r="C9" s="9" t="n">
        <x:f>SUMIFS(Sales!$M$7:$M$189,Sales!$D$7:$D$189,$A9,Sales!$G$7:$G$189,C$6)</x:f>
        <x:v>3105.6</x:v>
      </x:c>
      <x:c r="D9" s="9" t="n">
        <x:f>SUMIFS(Sales!$M$7:$M$189,Sales!$D$7:$D$189,$A9,Sales!$G$7:$G$189,D$6)</x:f>
        <x:v>2700</x:v>
      </x:c>
      <x:c r="E9" s="9" t="n">
        <x:f>SUMIFS(Sales!$M$7:$M$189,Sales!$D$7:$D$189,$A9,Sales!$G$7:$G$189,E$6)</x:f>
        <x:v>1117.2</x:v>
      </x:c>
      <x:c r="F9" s="9" t="n">
        <x:f>SUMIFS(Sales!$M$7:$M$189,Sales!$D$7:$D$189,$A9,Sales!$G$7:$G$189,F$6)</x:f>
        <x:v>135</x:v>
      </x:c>
      <x:c r="G9" s="9" t="n">
        <x:f>SUM(B9:F9)</x:f>
        <x:v>24507.8</x:v>
      </x:c>
      <x:c r="H9" s="1"/>
      <x:c r="I9" s="1" t="str">
        <x:v>Kitchen</x:v>
      </x:c>
      <x:c r="J9" s="1" t="n">
        <x:f>SUMIFS(Sales!$H$7:$H$189,Sales!$G$7:$G$189,I9)</x:f>
        <x:v>80</x:v>
      </x:c>
      <x:c r="K9" s="10" t="n">
        <x:f>SUMIFS(Sales!$M$7:$M$189,Sales!$G$7:$G$189,I9)</x:f>
        <x:v>26107.2</x:v>
      </x:c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S04</x:v>
      </x:c>
      <x:c r="B10" s="9" t="n">
        <x:f>SUMIFS(Sales!$M$7:$M$189,Sales!$D$7:$D$189,$A10,Sales!$G$7:$G$189,B$6)</x:f>
        <x:v>61725</x:v>
      </x:c>
      <x:c r="C10" s="9" t="n">
        <x:f>SUMIFS(Sales!$M$7:$M$189,Sales!$D$7:$D$189,$A10,Sales!$G$7:$G$189,C$6)</x:f>
        <x:v>1724.4</x:v>
      </x:c>
      <x:c r="D10" s="9" t="n">
        <x:f>SUMIFS(Sales!$M$7:$M$189,Sales!$D$7:$D$189,$A10,Sales!$G$7:$G$189,D$6)</x:f>
        <x:v>720</x:v>
      </x:c>
      <x:c r="E10" s="9" t="n">
        <x:f>SUMIFS(Sales!$M$7:$M$189,Sales!$D$7:$D$189,$A10,Sales!$G$7:$G$189,E$6)</x:f>
        <x:v>1034.6</x:v>
      </x:c>
      <x:c r="F10" s="9" t="n">
        <x:f>SUMIFS(Sales!$M$7:$M$189,Sales!$D$7:$D$189,$A10,Sales!$G$7:$G$189,F$6)</x:f>
        <x:v>1236.5</x:v>
      </x:c>
      <x:c r="G10" s="9" t="n">
        <x:f>SUM(B10:F10)</x:f>
        <x:v>66440.5</x:v>
      </x:c>
      <x:c r="H10" s="1"/>
      <x:c r="I10" s="1" t="str">
        <x:v>Personal care</x:v>
      </x:c>
      <x:c r="J10" s="1" t="n">
        <x:f>SUMIFS(Sales!$H$7:$H$189,Sales!$G$7:$G$189,I10)</x:f>
        <x:v>114</x:v>
      </x:c>
      <x:c r="K10" s="10" t="n">
        <x:f>SUMIFS(Sales!$M$7:$M$189,Sales!$G$7:$G$189,I10)</x:f>
        <x:v>30630.6</x:v>
      </x:c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S05</x:v>
      </x:c>
      <x:c r="B11" s="9" t="n">
        <x:f>SUMIFS(Sales!$M$7:$M$189,Sales!$D$7:$D$189,$A11,Sales!$G$7:$G$189,B$6)</x:f>
        <x:v>62987.5</x:v>
      </x:c>
      <x:c r="C11" s="9" t="n">
        <x:f>SUMIFS(Sales!$M$7:$M$189,Sales!$D$7:$D$189,$A11,Sales!$G$7:$G$189,C$6)</x:f>
        <x:v>427.2</x:v>
      </x:c>
      <x:c r="D11" s="9" t="n">
        <x:f>SUMIFS(Sales!$M$7:$M$189,Sales!$D$7:$D$189,$A11,Sales!$G$7:$G$189,D$6)</x:f>
        <x:v>1152</x:v>
      </x:c>
      <x:c r="E11" s="9" t="n">
        <x:f>SUMIFS(Sales!$M$7:$M$189,Sales!$D$7:$D$189,$A11,Sales!$G$7:$G$189,E$6)</x:f>
        <x:v>1668.8</x:v>
      </x:c>
      <x:c r="F11" s="9" t="n">
        <x:f>SUMIFS(Sales!$M$7:$M$189,Sales!$D$7:$D$189,$A11,Sales!$G$7:$G$189,F$6)</x:f>
        <x:v>1151</x:v>
      </x:c>
      <x:c r="G11" s="9" t="n">
        <x:f>SUM(B11:F11)</x:f>
        <x:v>67386.5</x:v>
      </x:c>
      <x:c r="H11" s="1"/>
      <x:c r="I11" s="1" t="str">
        <x:v>Stationery</x:v>
      </x:c>
      <x:c r="J11" s="1" t="n">
        <x:f>SUMIFS(Sales!$H$7:$H$189,Sales!$G$7:$G$189,I11)</x:f>
        <x:v>106</x:v>
      </x:c>
      <x:c r="K11" s="10" t="n">
        <x:f>SUMIFS(Sales!$M$7:$M$189,Sales!$G$7:$G$189,I11)</x:f>
        <x:v>9576</x:v>
      </x:c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S06</x:v>
      </x:c>
      <x:c r="B12" s="9" t="n">
        <x:f>SUMIFS(Sales!$M$7:$M$189,Sales!$D$7:$D$189,$A12,Sales!$G$7:$G$189,B$6)</x:f>
        <x:v>40275</x:v>
      </x:c>
      <x:c r="C12" s="9" t="n">
        <x:f>SUMIFS(Sales!$M$7:$M$189,Sales!$D$7:$D$189,$A12,Sales!$G$7:$G$189,C$6)</x:f>
        <x:v>2731.2</x:v>
      </x:c>
      <x:c r="D12" s="9" t="n">
        <x:f>SUMIFS(Sales!$M$7:$M$189,Sales!$D$7:$D$189,$A12,Sales!$G$7:$G$189,D$6)</x:f>
        <x:v>3294</x:v>
      </x:c>
      <x:c r="E12" s="9" t="n">
        <x:f>SUMIFS(Sales!$M$7:$M$189,Sales!$D$7:$D$189,$A12,Sales!$G$7:$G$189,E$6)</x:f>
        <x:v>3024</x:v>
      </x:c>
      <x:c r="F12" s="9" t="n">
        <x:f>SUMIFS(Sales!$M$7:$M$189,Sales!$D$7:$D$189,$A12,Sales!$G$7:$G$189,F$6)</x:f>
        <x:v>81</x:v>
      </x:c>
      <x:c r="G12" s="9" t="n">
        <x:f>SUM(B12:F12)</x:f>
        <x:v>49405.2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WEB</x:v>
      </x:c>
      <x:c r="B13" s="9" t="n">
        <x:f>SUMIFS(Sales!$M$7:$M$189,Sales!$D$7:$D$189,$A13,Sales!$G$7:$G$189,B$6)</x:f>
        <x:v>143112.5</x:v>
      </x:c>
      <x:c r="C13" s="9" t="n">
        <x:f>SUMIFS(Sales!$M$7:$M$189,Sales!$D$7:$D$189,$A13,Sales!$G$7:$G$189,C$6)</x:f>
        <x:v>8098.799999999999</x:v>
      </x:c>
      <x:c r="D13" s="9" t="n">
        <x:f>SUMIFS(Sales!$M$7:$M$189,Sales!$D$7:$D$189,$A13,Sales!$G$7:$G$189,D$6)</x:f>
        <x:v>7927.2</x:v>
      </x:c>
      <x:c r="E13" s="9" t="n">
        <x:f>SUMIFS(Sales!$M$7:$M$189,Sales!$D$7:$D$189,$A13,Sales!$G$7:$G$189,E$6)</x:f>
        <x:v>12359.2</x:v>
      </x:c>
      <x:c r="F13" s="9" t="n">
        <x:f>SUMIFS(Sales!$M$7:$M$189,Sales!$D$7:$D$189,$A13,Sales!$G$7:$G$189,F$6)</x:f>
        <x:v>4449</x:v>
      </x:c>
      <x:c r="G13" s="9" t="n">
        <x:f>SUM(B13:F13)</x:f>
        <x:v>175946.7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 t="str">
        <x:v>Grand total</x:v>
      </x:c>
      <x:c r="B14" s="10" t="n">
        <x:f>SUM(B7:B13)</x:f>
        <x:v>405987.5</x:v>
      </x:c>
      <x:c r="C14" s="10" t="n">
        <x:f>SUM(C7:C13)</x:f>
        <x:v>18190.8</x:v>
      </x:c>
      <x:c r="D14" s="10" t="n">
        <x:f>SUM(D7:D13)</x:f>
        <x:v>26107.2</x:v>
      </x:c>
      <x:c r="E14" s="10" t="n">
        <x:f>SUM(E7:E13)</x:f>
        <x:v>30630.600000000002</x:v>
      </x:c>
      <x:c r="F14" s="10" t="n">
        <x:f>SUM(F7:F13)</x:f>
        <x:v>9576</x:v>
      </x:c>
      <x:c r="G14" s="10" t="n">
        <x:f>SUM(G7:G13)</x:f>
        <x:v>490492.1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2" t="str">
        <x:v>Month</x:v>
      </x:c>
      <x:c r="B18" s="12" t="str">
        <x:v>Sales after discount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 t="str">
        <x:v>Jan 2025</x:v>
      </x:c>
      <x:c r="B19" s="10" t="n">
        <x:f>SUMIFS(Sales!$M$7:$M$189,Sales!$C$7:$C$189,"&gt;="&amp;DATE(2025,1,1),Sales!$C$7:$C$189,"&lt;"&amp;DATE(2025,2,1))</x:f>
        <x:v>59910.6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 t="str">
        <x:v>Feb 2025</x:v>
      </x:c>
      <x:c r="B20" s="10" t="n">
        <x:f>SUMIFS(Sales!$M$7:$M$189,Sales!$C$7:$C$189,"&gt;="&amp;DATE(2025,2,1),Sales!$C$7:$C$189,"&lt;"&amp;DATE(2025,3,1))</x:f>
        <x:v>20906.1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 t="str">
        <x:v>Mar 2025</x:v>
      </x:c>
      <x:c r="B21" s="10" t="n">
        <x:f>SUMIFS(Sales!$M$7:$M$189,Sales!$C$7:$C$189,"&gt;="&amp;DATE(2025,3,1),Sales!$C$7:$C$189,"&lt;"&amp;DATE(2025,4,1))</x:f>
        <x:v>32601.1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 t="str">
        <x:v>Apr 2025</x:v>
      </x:c>
      <x:c r="B22" s="10" t="n">
        <x:f>SUMIFS(Sales!$M$7:$M$189,Sales!$C$7:$C$189,"&gt;="&amp;DATE(2025,4,1),Sales!$C$7:$C$189,"&lt;"&amp;DATE(2025,5,1))</x:f>
        <x:v>34506.4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 t="str">
        <x:v>May 2025</x:v>
      </x:c>
      <x:c r="B23" s="10" t="n">
        <x:f>SUMIFS(Sales!$M$7:$M$189,Sales!$C$7:$C$189,"&gt;="&amp;DATE(2025,5,1),Sales!$C$7:$C$189,"&lt;"&amp;DATE(2025,6,1))</x:f>
        <x:v>39381.59999999999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 t="str">
        <x:v>Jun 2025</x:v>
      </x:c>
      <x:c r="B24" s="10" t="n">
        <x:f>SUMIFS(Sales!$M$7:$M$189,Sales!$C$7:$C$189,"&gt;="&amp;DATE(2025,6,1),Sales!$C$7:$C$189,"&lt;"&amp;DATE(2025,7,1))</x:f>
        <x:v>36560.3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 t="str">
        <x:v>Jul 2025</x:v>
      </x:c>
      <x:c r="B25" s="10" t="n">
        <x:f>SUMIFS(Sales!$M$7:$M$189,Sales!$C$7:$C$189,"&gt;="&amp;DATE(2025,7,1),Sales!$C$7:$C$189,"&lt;"&amp;DATE(2025,8,1))</x:f>
        <x:v>62447.1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 t="str">
        <x:v>Aug 2025</x:v>
      </x:c>
      <x:c r="B26" s="10" t="n">
        <x:f>SUMIFS(Sales!$M$7:$M$189,Sales!$C$7:$C$189,"&gt;="&amp;DATE(2025,8,1),Sales!$C$7:$C$189,"&lt;"&amp;DATE(2025,9,1))</x:f>
        <x:v>19026.699999999997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 t="str">
        <x:v>Sept 2025</x:v>
      </x:c>
      <x:c r="B27" s="10" t="n">
        <x:f>SUMIFS(Sales!$M$7:$M$189,Sales!$C$7:$C$189,"&gt;="&amp;DATE(2025,9,1),Sales!$C$7:$C$189,"&lt;"&amp;DATE(2025,10,1))</x:f>
        <x:v>41787.1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 t="str">
        <x:v>Oct 2025</x:v>
      </x:c>
      <x:c r="B28" s="10" t="n">
        <x:f>SUMIFS(Sales!$M$7:$M$189,Sales!$C$7:$C$189,"&gt;="&amp;DATE(2025,10,1),Sales!$C$7:$C$189,"&lt;"&amp;DATE(2025,11,1))</x:f>
        <x:v>23614.600000000002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 t="str">
        <x:v>Nov 2025</x:v>
      </x:c>
      <x:c r="B29" s="10" t="n">
        <x:f>SUMIFS(Sales!$M$7:$M$189,Sales!$C$7:$C$189,"&gt;="&amp;DATE(2025,11,1),Sales!$C$7:$C$189,"&lt;"&amp;DATE(2025,12,1))</x:f>
        <x:v>45512.1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 t="str">
        <x:v>Dec 2025</x:v>
      </x:c>
      <x:c r="B30" s="10" t="n">
        <x:f>SUMIFS(Sales!$M$7:$M$189,Sales!$C$7:$C$189,"&gt;="&amp;DATE(2025,12,1),Sales!$C$7:$C$189,"&lt;"&amp;DATE(2025,13,1))</x:f>
        <x:v>74238.4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 t="str">
        <x:v>Grand total</x:v>
      </x:c>
      <x:c r="B31" s="10" t="n">
        <x:f>SUM(B19:B30)</x:f>
        <x:v>490492.09999999986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10 — Starting workbook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CH10-E01</x:v>
      </x:c>
      <x:c r="B7" s="16" t="str">
        <x:v>Create a monthly line chart and ranked category bar chart.</x:v>
      </x:c>
      <x:c r="C7" s="16" t="str">
        <x:v>Use supplied Summary; native pivot-based variant remains pending.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CH10-E02</x:v>
      </x:c>
      <x:c r="B8" s="16" t="str">
        <x:v>State 2025 selected orders, INR, after discount and before refunds.</x:v>
      </x:c>
      <x:c r="C8" s="16" t="str">
        <x:v>Do not label these sample figures annual net sales.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CH10-E03</x:v>
      </x:c>
      <x:c r="B9" s="16" t="str">
        <x:v>Write three numerical findings and one limitation.</x:v>
      </x:c>
      <x:c r="C9" s="16" t="str">
        <x:v>Every number must trace to Sales or Summary.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CH10-E04</x:v>
      </x:c>
      <x:c r="B10" s="16" t="str">
        <x:v>Check chart ranges, totals, category order and readable labels.</x:v>
      </x:c>
      <x:c r="C10" s="16" t="str">
        <x:v>Save as excel_business_report.xlsx. This reference summarizes all rows.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